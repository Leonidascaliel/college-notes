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fatecspgov-my.sharepoint.com/personal/leonidas_carvalho_fatec_sp_gov_br/Documents/"/>
    </mc:Choice>
  </mc:AlternateContent>
  <xr:revisionPtr revIDLastSave="0" documentId="8_{04FAD13A-3E94-4841-BB6B-20468C8F63D9}" xr6:coauthVersionLast="47" xr6:coauthVersionMax="47" xr10:uidLastSave="{00000000-0000-0000-0000-000000000000}"/>
  <bookViews>
    <workbookView xWindow="-108" yWindow="-108" windowWidth="23256" windowHeight="12456" firstSheet="3" activeTab="3" xr2:uid="{9CDCAF22-7803-42A4-8387-B7391256B96D}"/>
  </bookViews>
  <sheets>
    <sheet name="Dados Norteadores" sheetId="1" r:id="rId1"/>
    <sheet name="Dashboard" sheetId="2" r:id="rId2"/>
    <sheet name="Análise I" sheetId="3" r:id="rId3"/>
    <sheet name="Relatório de Sensibilidade 1" sheetId="8" r:id="rId4"/>
  </sheets>
  <definedNames>
    <definedName name="_xlnm._FilterDatabase" localSheetId="2" hidden="1">'Análise I'!$H$4:$H$5</definedName>
    <definedName name="solver_adj" localSheetId="2" hidden="1">'Análise I'!$C$10:$D$10</definedName>
    <definedName name="solver_cvg" localSheetId="2" hidden="1">0.0001</definedName>
    <definedName name="solver_cvg" localSheetId="0" hidden="1">0.0001</definedName>
    <definedName name="solver_drv" localSheetId="2" hidden="1">1</definedName>
    <definedName name="solver_drv" localSheetId="0" hidden="1">2</definedName>
    <definedName name="solver_eng" localSheetId="2" hidden="1">2</definedName>
    <definedName name="solver_eng" localSheetId="0" hidden="1">2</definedName>
    <definedName name="solver_est" localSheetId="2" hidden="1">1</definedName>
    <definedName name="solver_est" localSheetId="0" hidden="1">1</definedName>
    <definedName name="solver_itr" localSheetId="2" hidden="1">2147483647</definedName>
    <definedName name="solver_itr" localSheetId="0" hidden="1">2147483647</definedName>
    <definedName name="solver_lhs1" localSheetId="2" hidden="1">'Análise I'!$C$10</definedName>
    <definedName name="solver_lhs2" localSheetId="2" hidden="1">'Análise I'!$C$10</definedName>
    <definedName name="solver_lhs3" localSheetId="2" hidden="1">'Análise I'!$D$10</definedName>
    <definedName name="solver_lhs4" localSheetId="2" hidden="1">'Análise I'!$D$10</definedName>
    <definedName name="solver_lhs5" localSheetId="2" hidden="1">'Análise I'!$B$12</definedName>
    <definedName name="solver_lhs6" localSheetId="2" hidden="1">'Análise I'!$B$14</definedName>
    <definedName name="solver_lhs7" localSheetId="2" hidden="1">'Análise I'!#REF!</definedName>
    <definedName name="solver_mip" localSheetId="2" hidden="1">2147483647</definedName>
    <definedName name="solver_mip" localSheetId="0" hidden="1">2147483647</definedName>
    <definedName name="solver_mni" localSheetId="2" hidden="1">30</definedName>
    <definedName name="solver_mni" localSheetId="0" hidden="1">30</definedName>
    <definedName name="solver_mrt" localSheetId="2" hidden="1">0.075</definedName>
    <definedName name="solver_mrt" localSheetId="0" hidden="1">0.075</definedName>
    <definedName name="solver_msl" localSheetId="2" hidden="1">2</definedName>
    <definedName name="solver_msl" localSheetId="0" hidden="1">2</definedName>
    <definedName name="solver_neg" localSheetId="2" hidden="1">1</definedName>
    <definedName name="solver_neg" localSheetId="0" hidden="1">1</definedName>
    <definedName name="solver_nod" localSheetId="2" hidden="1">2147483647</definedName>
    <definedName name="solver_nod" localSheetId="0" hidden="1">2147483647</definedName>
    <definedName name="solver_num" localSheetId="2" hidden="1">6</definedName>
    <definedName name="solver_num" localSheetId="0" hidden="1">0</definedName>
    <definedName name="solver_nwt" localSheetId="2" hidden="1">1</definedName>
    <definedName name="solver_nwt" localSheetId="0" hidden="1">1</definedName>
    <definedName name="solver_opt" localSheetId="2" hidden="1">'Análise I'!$E$9</definedName>
    <definedName name="solver_opt" localSheetId="0" hidden="1">'Dados Norteadores'!$R$1</definedName>
    <definedName name="solver_pre" localSheetId="2" hidden="1">0.000001</definedName>
    <definedName name="solver_pre" localSheetId="0" hidden="1">0.000001</definedName>
    <definedName name="solver_rbv" localSheetId="2" hidden="1">1</definedName>
    <definedName name="solver_rbv" localSheetId="0" hidden="1">2</definedName>
    <definedName name="solver_rel1" localSheetId="2" hidden="1">1</definedName>
    <definedName name="solver_rel2" localSheetId="2" hidden="1">3</definedName>
    <definedName name="solver_rel3" localSheetId="2" hidden="1">1</definedName>
    <definedName name="solver_rel4" localSheetId="2" hidden="1">3</definedName>
    <definedName name="solver_rel5" localSheetId="2" hidden="1">1</definedName>
    <definedName name="solver_rel6" localSheetId="2" hidden="1">1</definedName>
    <definedName name="solver_rel7" localSheetId="2" hidden="1">1</definedName>
    <definedName name="solver_rhs1" localSheetId="2" hidden="1">'Análise I'!$B$16</definedName>
    <definedName name="solver_rhs2" localSheetId="2" hidden="1">0</definedName>
    <definedName name="solver_rhs3" localSheetId="2" hidden="1">'Análise I'!$B$17</definedName>
    <definedName name="solver_rhs4" localSheetId="2" hidden="1">0</definedName>
    <definedName name="solver_rhs5" localSheetId="2" hidden="1">'Análise I'!$L$4</definedName>
    <definedName name="solver_rhs6" localSheetId="2" hidden="1">'Análise I'!$G$4</definedName>
    <definedName name="solver_rhs7" localSheetId="2" hidden="1">'Análise I'!$G$4</definedName>
    <definedName name="solver_rlx" localSheetId="2" hidden="1">2</definedName>
    <definedName name="solver_rlx" localSheetId="0" hidden="1">2</definedName>
    <definedName name="solver_rsd" localSheetId="2" hidden="1">0</definedName>
    <definedName name="solver_rsd" localSheetId="0" hidden="1">0</definedName>
    <definedName name="solver_scl" localSheetId="2" hidden="1">1</definedName>
    <definedName name="solver_scl" localSheetId="0" hidden="1">2</definedName>
    <definedName name="solver_sho" localSheetId="2" hidden="1">2</definedName>
    <definedName name="solver_sho" localSheetId="0" hidden="1">2</definedName>
    <definedName name="solver_ssz" localSheetId="2" hidden="1">100</definedName>
    <definedName name="solver_ssz" localSheetId="0" hidden="1">100</definedName>
    <definedName name="solver_tim" localSheetId="2" hidden="1">2147483647</definedName>
    <definedName name="solver_tim" localSheetId="0" hidden="1">2147483647</definedName>
    <definedName name="solver_tol" localSheetId="2" hidden="1">0.01</definedName>
    <definedName name="solver_tol" localSheetId="0" hidden="1">0.01</definedName>
    <definedName name="solver_typ" localSheetId="2" hidden="1">1</definedName>
    <definedName name="solver_typ" localSheetId="0" hidden="1">1</definedName>
    <definedName name="solver_val" localSheetId="2" hidden="1">0</definedName>
    <definedName name="solver_val" localSheetId="0" hidden="1">0</definedName>
    <definedName name="solver_ver" localSheetId="2" hidden="1">3</definedName>
    <definedName name="solver_ver" localSheetId="0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H10" i="3"/>
  <c r="G10" i="3"/>
  <c r="B12" i="3"/>
  <c r="B14" i="3"/>
  <c r="B10" i="3"/>
  <c r="E9" i="3" s="1"/>
  <c r="G4" i="3"/>
  <c r="K15" i="1"/>
  <c r="G15" i="1"/>
  <c r="G14" i="1"/>
  <c r="C4" i="3"/>
  <c r="C5" i="3"/>
  <c r="E4" i="3" a="1"/>
  <c r="E4" i="3" s="1"/>
  <c r="D5" i="3"/>
  <c r="D4" i="3"/>
  <c r="I4" i="3" l="1"/>
  <c r="I5" i="3"/>
  <c r="Q9" i="1" l="1"/>
  <c r="Q8" i="1"/>
  <c r="O9" i="1"/>
  <c r="H7" i="1"/>
  <c r="G8" i="1"/>
  <c r="H8" i="1" s="1"/>
  <c r="G13" i="1"/>
  <c r="O8" i="1"/>
  <c r="O7" i="1"/>
  <c r="P9" i="1"/>
  <c r="P8" i="1"/>
  <c r="P7" i="1"/>
  <c r="D11" i="1"/>
  <c r="D9" i="1"/>
  <c r="D7" i="1"/>
  <c r="N7" i="1" s="1"/>
  <c r="D38" i="1"/>
  <c r="D30" i="1"/>
  <c r="D31" i="1" s="1"/>
  <c r="D20" i="1"/>
  <c r="D21" i="1" s="1"/>
  <c r="D22" i="1" s="1"/>
  <c r="M8" i="1"/>
  <c r="M9" i="1"/>
  <c r="M7" i="1"/>
  <c r="F4" i="3" s="1" a="1"/>
  <c r="N9" i="1" l="1"/>
  <c r="N8" i="1"/>
  <c r="O12" i="1"/>
  <c r="J4" i="3" a="1"/>
  <c r="J4" i="3" s="1"/>
  <c r="K13" i="1"/>
  <c r="L4" i="3" s="1"/>
  <c r="H4" i="3" a="1"/>
  <c r="H4" i="3" s="1"/>
  <c r="K4" i="3" s="1"/>
  <c r="F4" i="3"/>
  <c r="B16" i="3" s="1"/>
  <c r="B17" i="3"/>
  <c r="D32" i="1"/>
  <c r="D39" i="1"/>
  <c r="D4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<sst xmlns="http://schemas.openxmlformats.org/spreadsheetml/2006/main" count="144" uniqueCount="99">
  <si>
    <t>Projeto - Programação Linear e Aplicações</t>
  </si>
  <si>
    <t>Data dos Dados</t>
  </si>
  <si>
    <t>Dados Norteadores Reais da Empresa "Hot Flowers Ind.Com. Acess Adultos LTDA</t>
  </si>
  <si>
    <t>01/01/2024 à 01/01/2025</t>
  </si>
  <si>
    <t>Quantidade de Vendas/ano</t>
  </si>
  <si>
    <t>Informações Financeiras de Créditos</t>
  </si>
  <si>
    <t>Dados Técnicos e Financeiros dos Produtos</t>
  </si>
  <si>
    <t>Grupo (0401)  - Linha Convencional Macica</t>
  </si>
  <si>
    <t>Quantidade / ano</t>
  </si>
  <si>
    <t>Média/mês</t>
  </si>
  <si>
    <t>Despesas</t>
  </si>
  <si>
    <t>Valor / mês</t>
  </si>
  <si>
    <t>Valor / Trimestre</t>
  </si>
  <si>
    <t>Produto</t>
  </si>
  <si>
    <t>Custo unitário (R$)</t>
  </si>
  <si>
    <t>Preço de venda (R$)</t>
  </si>
  <si>
    <t>Lucro Unitário (R$)</t>
  </si>
  <si>
    <t>Custo/trimestre</t>
  </si>
  <si>
    <t>Receita/trimestre</t>
  </si>
  <si>
    <t>Receita/ano</t>
  </si>
  <si>
    <t>Lucro líquido total / ano</t>
  </si>
  <si>
    <t>Protese Macica Natural 16x4</t>
  </si>
  <si>
    <t>Energia</t>
  </si>
  <si>
    <t>Grupo (0402) - Linha Convencional Vibro I</t>
  </si>
  <si>
    <t>Gás</t>
  </si>
  <si>
    <t>Protese Vibro Int Natural 16x4</t>
  </si>
  <si>
    <t xml:space="preserve"> Protese Fogo da Paixão Display</t>
  </si>
  <si>
    <t>Grupo (0409) - Linha Protese Fogo da Paixão</t>
  </si>
  <si>
    <t>Produtividade (por unidade/por hora)</t>
  </si>
  <si>
    <t>Recursos Disponíveis (Restrições)</t>
  </si>
  <si>
    <t>Total Prejuízo</t>
  </si>
  <si>
    <t>Horas por unidade</t>
  </si>
  <si>
    <t>Unidades/horas</t>
  </si>
  <si>
    <t xml:space="preserve">Recurso </t>
  </si>
  <si>
    <t>Limite Disponível</t>
  </si>
  <si>
    <t>Unidade</t>
  </si>
  <si>
    <t>Informações sobre os produtos</t>
  </si>
  <si>
    <t>Horas de Produção disponível</t>
  </si>
  <si>
    <t>h/mês</t>
  </si>
  <si>
    <t>Insumo</t>
  </si>
  <si>
    <t>Total unitário</t>
  </si>
  <si>
    <t>Capital de Produção</t>
  </si>
  <si>
    <t>mês</t>
  </si>
  <si>
    <t>Silicone (0,2212kg x R$48,42/kg</t>
  </si>
  <si>
    <t>Capacidade de Armazenamento</t>
  </si>
  <si>
    <t>un/Ano</t>
  </si>
  <si>
    <t>Pigmento</t>
  </si>
  <si>
    <t>Embalagem (Blister)</t>
  </si>
  <si>
    <t>Amortização Molde</t>
  </si>
  <si>
    <t>Mão de Obra</t>
  </si>
  <si>
    <t>Soma antes overhead</t>
  </si>
  <si>
    <t>overhead 15%</t>
  </si>
  <si>
    <t xml:space="preserve">Silicone  </t>
  </si>
  <si>
    <t>Motor Vibratório</t>
  </si>
  <si>
    <t>Baterias (2x AA)</t>
  </si>
  <si>
    <t>Embalagem Display (US$0,12 = R$0,65)</t>
  </si>
  <si>
    <t>Tabela de Dados</t>
  </si>
  <si>
    <t>Quantidade vendas/Ano</t>
  </si>
  <si>
    <t>preço venda (R$)</t>
  </si>
  <si>
    <t>Custo Unitário (R$)</t>
  </si>
  <si>
    <t>Capital de Produção / Mês</t>
  </si>
  <si>
    <t>Horas/un</t>
  </si>
  <si>
    <t>Custo Total de Produção</t>
  </si>
  <si>
    <t>Lucro Anual</t>
  </si>
  <si>
    <t>Horas Usadas / Ano</t>
  </si>
  <si>
    <t>Horas disponiveis / Ano</t>
  </si>
  <si>
    <t>Resumo (Restrições)</t>
  </si>
  <si>
    <r>
      <t>Variáveis de Decisão (</t>
    </r>
    <r>
      <rPr>
        <b/>
        <i/>
        <sz val="14"/>
        <color theme="8" tint="0.39997558519241921"/>
        <rFont val="Aptos Narrow"/>
        <family val="2"/>
        <scheme val="minor"/>
      </rPr>
      <t>X</t>
    </r>
    <r>
      <rPr>
        <b/>
        <i/>
        <sz val="14"/>
        <color theme="0"/>
        <rFont val="Aptos Narrow"/>
        <family val="2"/>
        <scheme val="minor"/>
      </rPr>
      <t xml:space="preserve">, </t>
    </r>
    <r>
      <rPr>
        <b/>
        <i/>
        <sz val="14"/>
        <color theme="7" tint="0.39997558519241921"/>
        <rFont val="Aptos Narrow"/>
        <family val="2"/>
        <scheme val="minor"/>
      </rPr>
      <t>Y</t>
    </r>
    <r>
      <rPr>
        <b/>
        <i/>
        <sz val="14"/>
        <color theme="0"/>
        <rFont val="Aptos Narrow"/>
        <family val="2"/>
        <scheme val="minor"/>
      </rPr>
      <t>)</t>
    </r>
  </si>
  <si>
    <t>Resultados Esperados (Z)</t>
  </si>
  <si>
    <t>1 - Lucro Total / Ano</t>
  </si>
  <si>
    <t>Resultados</t>
  </si>
  <si>
    <t>2 - Restrição de Capacidade Produtiva em Horas</t>
  </si>
  <si>
    <t>3 - Restrição de Capital</t>
  </si>
  <si>
    <t>4 - Restrição de Demanda Máxima</t>
  </si>
  <si>
    <t>Microsoft Excel 16.0 Relatório de Sensibilidade</t>
  </si>
  <si>
    <t>Planilha: [Projeto PLA - Hotflowers.xlsx]Análise I</t>
  </si>
  <si>
    <t>Relatório Criado: 05/11/2025 21:05:45</t>
  </si>
  <si>
    <t>Células Variáveis</t>
  </si>
  <si>
    <t>Final</t>
  </si>
  <si>
    <t>Reduzido</t>
  </si>
  <si>
    <t>Objetivo</t>
  </si>
  <si>
    <t>Permitido</t>
  </si>
  <si>
    <t>Célula</t>
  </si>
  <si>
    <t>Nome</t>
  </si>
  <si>
    <t>Valor</t>
  </si>
  <si>
    <t>Custo</t>
  </si>
  <si>
    <t>Coeficiente</t>
  </si>
  <si>
    <t>Aumentar</t>
  </si>
  <si>
    <t>Reduzir</t>
  </si>
  <si>
    <t>$B$13</t>
  </si>
  <si>
    <t>$C$13</t>
  </si>
  <si>
    <t>Restrições</t>
  </si>
  <si>
    <t>Sombra</t>
  </si>
  <si>
    <t>Restrição</t>
  </si>
  <si>
    <t>Preço</t>
  </si>
  <si>
    <t>Lateral R.H.</t>
  </si>
  <si>
    <t>$G$9</t>
  </si>
  <si>
    <t>2 - Restrição de Horas</t>
  </si>
  <si>
    <t>$H$9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</si>
</sst>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\-&quot;R$&quot;\ #,##0.00"/>
    <numFmt numFmtId="165" formatCode="_-&quot;R$&quot;\ * #,##0.00_-;\-&quot;R$&quot;\ * #,##0.00_-;_-&quot;R$&quot;\ 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4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i/>
      <sz val="16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4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i/>
      <sz val="14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i/>
      <sz val="14"/>
      <color theme="7" tint="0.39997558519241921"/>
      <name val="Aptos Narrow"/>
      <family val="2"/>
      <scheme val="minor"/>
    </font>
    <font>
      <b/>
      <i/>
      <sz val="14"/>
      <color theme="8" tint="0.39997558519241921"/>
      <name val="Aptos Narrow"/>
      <family val="2"/>
      <scheme val="minor"/>
    </font>
    <font>
      <b/>
      <sz val="11"/>
      <color indexed="1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B88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88">
    <xf numFmtId="0" fontId="0" fillId="0" borderId="0" xfId="0"/>
    <xf numFmtId="165" fontId="0" fillId="0" borderId="0" xfId="0" applyNumberFormat="1"/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5" fontId="6" fillId="0" borderId="1" xfId="1" applyFont="1" applyBorder="1"/>
    <xf numFmtId="0" fontId="6" fillId="0" borderId="1" xfId="0" applyFont="1" applyBorder="1" applyAlignment="1">
      <alignment horizontal="center"/>
    </xf>
    <xf numFmtId="0" fontId="7" fillId="2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/>
    <xf numFmtId="0" fontId="6" fillId="0" borderId="1" xfId="1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165" fontId="6" fillId="7" borderId="5" xfId="1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165" fontId="6" fillId="7" borderId="7" xfId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65" fontId="6" fillId="8" borderId="1" xfId="1" applyFont="1" applyFill="1" applyBorder="1" applyAlignment="1">
      <alignment horizontal="center" vertical="center" wrapText="1"/>
    </xf>
    <xf numFmtId="165" fontId="6" fillId="8" borderId="1" xfId="0" applyNumberFormat="1" applyFont="1" applyFill="1" applyBorder="1"/>
    <xf numFmtId="0" fontId="6" fillId="6" borderId="1" xfId="0" applyFont="1" applyFill="1" applyBorder="1" applyAlignment="1">
      <alignment horizontal="center" vertical="center" wrapText="1"/>
    </xf>
    <xf numFmtId="165" fontId="6" fillId="6" borderId="1" xfId="1" applyFont="1" applyFill="1" applyBorder="1" applyAlignment="1">
      <alignment horizontal="center" vertical="center" wrapText="1"/>
    </xf>
    <xf numFmtId="165" fontId="6" fillId="6" borderId="1" xfId="0" applyNumberFormat="1" applyFont="1" applyFill="1" applyBorder="1"/>
    <xf numFmtId="165" fontId="6" fillId="0" borderId="1" xfId="1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14" fontId="7" fillId="2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/>
    <xf numFmtId="0" fontId="7" fillId="2" borderId="1" xfId="0" applyFont="1" applyFill="1" applyBorder="1" applyAlignment="1">
      <alignment vertical="center"/>
    </xf>
    <xf numFmtId="165" fontId="6" fillId="0" borderId="1" xfId="1" applyFont="1" applyBorder="1" applyAlignment="1">
      <alignment vertical="center"/>
    </xf>
    <xf numFmtId="165" fontId="6" fillId="9" borderId="1" xfId="0" applyNumberFormat="1" applyFont="1" applyFill="1" applyBorder="1"/>
    <xf numFmtId="165" fontId="9" fillId="0" borderId="1" xfId="1" applyFont="1" applyBorder="1" applyAlignment="1">
      <alignment horizontal="center" vertical="center"/>
    </xf>
    <xf numFmtId="0" fontId="9" fillId="0" borderId="1" xfId="1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2" fontId="6" fillId="0" borderId="1" xfId="1" applyNumberFormat="1" applyFont="1" applyFill="1" applyBorder="1" applyAlignment="1">
      <alignment horizontal="center" vertical="center"/>
    </xf>
    <xf numFmtId="0" fontId="5" fillId="0" borderId="0" xfId="0" applyFont="1"/>
    <xf numFmtId="0" fontId="0" fillId="0" borderId="18" xfId="0" applyBorder="1"/>
    <xf numFmtId="0" fontId="0" fillId="0" borderId="19" xfId="0" applyBorder="1"/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164" fontId="0" fillId="0" borderId="18" xfId="0" applyNumberFormat="1" applyBorder="1"/>
    <xf numFmtId="164" fontId="0" fillId="0" borderId="19" xfId="0" applyNumberFormat="1" applyBorder="1"/>
    <xf numFmtId="0" fontId="7" fillId="2" borderId="1" xfId="0" applyFont="1" applyFill="1" applyBorder="1" applyAlignment="1">
      <alignment horizontal="left" vertical="center"/>
    </xf>
    <xf numFmtId="165" fontId="9" fillId="0" borderId="1" xfId="0" applyNumberFormat="1" applyFont="1" applyBorder="1" applyAlignment="1">
      <alignment horizontal="left" vertical="center"/>
    </xf>
    <xf numFmtId="0" fontId="7" fillId="2" borderId="12" xfId="0" applyFont="1" applyFill="1" applyBorder="1" applyAlignment="1">
      <alignment horizontal="left" vertical="center"/>
    </xf>
    <xf numFmtId="1" fontId="9" fillId="0" borderId="1" xfId="0" applyNumberFormat="1" applyFont="1" applyBorder="1" applyAlignment="1">
      <alignment horizontal="right" vertical="center"/>
    </xf>
    <xf numFmtId="165" fontId="9" fillId="7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0" fontId="6" fillId="5" borderId="0" xfId="0" applyFont="1" applyFill="1"/>
    <xf numFmtId="165" fontId="9" fillId="11" borderId="1" xfId="0" applyNumberFormat="1" applyFont="1" applyFill="1" applyBorder="1" applyAlignment="1">
      <alignment vertical="center"/>
    </xf>
    <xf numFmtId="0" fontId="0" fillId="5" borderId="0" xfId="0" applyFill="1" applyAlignment="1">
      <alignment horizontal="center"/>
    </xf>
    <xf numFmtId="0" fontId="9" fillId="8" borderId="9" xfId="0" applyFont="1" applyFill="1" applyBorder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13" xfId="0" applyFont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1" xfId="1" applyNumberFormat="1" applyFont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65" fontId="9" fillId="11" borderId="9" xfId="0" applyNumberFormat="1" applyFont="1" applyFill="1" applyBorder="1" applyAlignment="1">
      <alignment horizontal="center" vertical="center"/>
    </xf>
    <xf numFmtId="165" fontId="9" fillId="11" borderId="10" xfId="0" applyNumberFormat="1" applyFont="1" applyFill="1" applyBorder="1" applyAlignment="1">
      <alignment horizontal="center" vertical="center"/>
    </xf>
    <xf numFmtId="165" fontId="9" fillId="0" borderId="1" xfId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B88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Custo</a:t>
            </a:r>
            <a:r>
              <a:rPr lang="pt-BR" b="1" baseline="0"/>
              <a:t> - 1ª Trimestre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53-400A-8410-97AB5E272F3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53-400A-8410-97AB5E272F36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53-400A-8410-97AB5E272F3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'Dados Norteadores'!$J$7:$J$9</c:f>
              <c:strCache>
                <c:ptCount val="3"/>
                <c:pt idx="0">
                  <c:v>Protese Macica Natural 16x4</c:v>
                </c:pt>
                <c:pt idx="1">
                  <c:v>Protese Vibro Int Natural 16x4</c:v>
                </c:pt>
                <c:pt idx="2">
                  <c:v> Protese Fogo da Paixão Display</c:v>
                </c:pt>
              </c:strCache>
            </c:strRef>
          </c:cat>
          <c:val>
            <c:numRef>
              <c:f>'Dados Norteadores'!$N$7:$N$9</c:f>
              <c:numCache>
                <c:formatCode>_-"R$"\ * #,##0.00_-;\-"R$"\ * #,##0.00_-;_-"R$"\ * "-"??_-;_-@_-</c:formatCode>
                <c:ptCount val="3"/>
                <c:pt idx="0">
                  <c:v>32425.477500000001</c:v>
                </c:pt>
                <c:pt idx="1">
                  <c:v>29441.13</c:v>
                </c:pt>
                <c:pt idx="2">
                  <c:v>78421.164999999994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1-479B-BCB1-A9D08B133F4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Lucro</a:t>
            </a:r>
            <a:r>
              <a:rPr lang="pt-BR" b="1" baseline="0"/>
              <a:t> Líquido - 2024 - 2025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48-4013-AF7D-06E127A95D1F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048-4013-AF7D-06E127A95D1F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048-4013-AF7D-06E127A95D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'Dados Norteadores'!$J$7:$J$9</c:f>
              <c:strCache>
                <c:ptCount val="3"/>
                <c:pt idx="0">
                  <c:v>Protese Macica Natural 16x4</c:v>
                </c:pt>
                <c:pt idx="1">
                  <c:v>Protese Vibro Int Natural 16x4</c:v>
                </c:pt>
                <c:pt idx="2">
                  <c:v> Protese Fogo da Paixão Display</c:v>
                </c:pt>
              </c:strCache>
            </c:strRef>
          </c:cat>
          <c:val>
            <c:numRef>
              <c:f>'Dados Norteadores'!$Q$7:$Q$9</c:f>
              <c:numCache>
                <c:formatCode>_-"R$"\ * #,##0.00_-;\-"R$"\ * #,##0.00_-;_-"R$"\ * "-"??_-;_-@_-</c:formatCode>
                <c:ptCount val="3"/>
                <c:pt idx="0">
                  <c:v>-32555.910000000003</c:v>
                </c:pt>
                <c:pt idx="1">
                  <c:v>-40754.520000000004</c:v>
                </c:pt>
                <c:pt idx="2">
                  <c:v>321259.33999999997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C-4122-B636-95DCD2E79DE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Receita - 1ª</a:t>
            </a:r>
            <a:r>
              <a:rPr lang="pt-BR" b="1" baseline="0"/>
              <a:t> Trimestre 2024 </a:t>
            </a:r>
            <a:endParaRPr lang="pt-BR" b="1"/>
          </a:p>
        </c:rich>
      </c:tx>
      <c:layout>
        <c:manualLayout>
          <c:xMode val="edge"/>
          <c:yMode val="edge"/>
          <c:x val="0.28317344706911635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8216469816272965"/>
          <c:y val="0.19486111111111112"/>
          <c:w val="0.77339085739282587"/>
          <c:h val="0.6239045640128316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'Dados Norteadores'!$J$7:$J$9</c:f>
              <c:strCache>
                <c:ptCount val="3"/>
                <c:pt idx="0">
                  <c:v>Protese Macica Natural 16x4</c:v>
                </c:pt>
                <c:pt idx="1">
                  <c:v>Protese Vibro Int Natural 16x4</c:v>
                </c:pt>
                <c:pt idx="2">
                  <c:v> Protese Fogo da Paixão Display</c:v>
                </c:pt>
              </c:strCache>
            </c:strRef>
          </c:cat>
          <c:val>
            <c:numRef>
              <c:f>'Dados Norteadores'!$O$7:$O$9</c:f>
              <c:numCache>
                <c:formatCode>_-"R$"\ * #,##0.00_-;\-"R$"\ * #,##0.00_-;_-"R$"\ * "-"??_-;_-@_-</c:formatCode>
                <c:ptCount val="3"/>
                <c:pt idx="0">
                  <c:v>24286.5</c:v>
                </c:pt>
                <c:pt idx="1">
                  <c:v>19252.5</c:v>
                </c:pt>
                <c:pt idx="2">
                  <c:v>158736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A-45A8-8CC9-3F01F4E5EA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57433376"/>
        <c:axId val="185946768"/>
      </c:barChart>
      <c:catAx>
        <c:axId val="75743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946768"/>
        <c:crosses val="autoZero"/>
        <c:auto val="1"/>
        <c:lblAlgn val="ctr"/>
        <c:lblOffset val="100"/>
        <c:noMultiLvlLbl val="0"/>
      </c:catAx>
      <c:valAx>
        <c:axId val="18594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74333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Custo /</a:t>
            </a:r>
            <a:r>
              <a:rPr lang="pt-BR" b="1" baseline="0"/>
              <a:t> Receita / Produção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'Dados Norteadores'!$N$6</c:f>
              <c:strCache>
                <c:ptCount val="1"/>
                <c:pt idx="0">
                  <c:v>Custo/trimestre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Norteadores'!$J$7:$J$9</c:f>
              <c:strCache>
                <c:ptCount val="3"/>
                <c:pt idx="0">
                  <c:v>Protese Macica Natural 16x4</c:v>
                </c:pt>
                <c:pt idx="1">
                  <c:v>Protese Vibro Int Natural 16x4</c:v>
                </c:pt>
                <c:pt idx="2">
                  <c:v> Protese Fogo da Paixão Display</c:v>
                </c:pt>
              </c:strCache>
            </c:strRef>
          </c:cat>
          <c:val>
            <c:numRef>
              <c:f>'Dados Norteadores'!$N$7:$N$9</c:f>
              <c:numCache>
                <c:formatCode>_-"R$"\ * #,##0.00_-;\-"R$"\ * #,##0.00_-;_-"R$"\ * "-"??_-;_-@_-</c:formatCode>
                <c:ptCount val="3"/>
                <c:pt idx="0">
                  <c:v>32425.477500000001</c:v>
                </c:pt>
                <c:pt idx="1">
                  <c:v>29441.13</c:v>
                </c:pt>
                <c:pt idx="2">
                  <c:v>78421.164999999994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C-402C-A865-F8C30EB54EAF}"/>
            </c:ext>
          </c:extLst>
        </c:ser>
        <c:ser>
          <c:idx val="1"/>
          <c:order val="1"/>
          <c:tx>
            <c:strRef>
              <c:f>'Dados Norteadores'!$O$6</c:f>
              <c:strCache>
                <c:ptCount val="1"/>
                <c:pt idx="0">
                  <c:v>Receita/trimestre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'Dados Norteadores'!$O$7:$O$9</c:f>
              <c:numCache>
                <c:formatCode>_-"R$"\ * #,##0.00_-;\-"R$"\ * #,##0.00_-;_-"R$"\ * "-"??_-;_-@_-</c:formatCode>
                <c:ptCount val="3"/>
                <c:pt idx="0">
                  <c:v>24286.5</c:v>
                </c:pt>
                <c:pt idx="1">
                  <c:v>19252.5</c:v>
                </c:pt>
                <c:pt idx="2">
                  <c:v>158736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AC-402C-A865-F8C30EB54EAF}"/>
            </c:ext>
          </c:extLst>
        </c:ser>
        <c:ser>
          <c:idx val="2"/>
          <c:order val="2"/>
          <c:tx>
            <c:strRef>
              <c:f>'Dados Norteadores'!$C$6</c:f>
              <c:strCache>
                <c:ptCount val="1"/>
                <c:pt idx="0">
                  <c:v>Quantidade / ano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('Dados Norteadores'!$C$7,'Dados Norteadores'!$C$9,'Dados Norteadores'!$C$11)</c:f>
              <c:numCache>
                <c:formatCode>General</c:formatCode>
                <c:ptCount val="3"/>
                <c:pt idx="0">
                  <c:v>2313</c:v>
                </c:pt>
                <c:pt idx="1">
                  <c:v>906</c:v>
                </c:pt>
                <c:pt idx="2">
                  <c:v>13228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AC-402C-A865-F8C30EB54E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2506896"/>
        <c:axId val="129555296"/>
      </c:barChart>
      <c:catAx>
        <c:axId val="110250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555296"/>
        <c:crosses val="autoZero"/>
        <c:auto val="1"/>
        <c:lblAlgn val="ctr"/>
        <c:lblOffset val="100"/>
        <c:noMultiLvlLbl val="0"/>
      </c:catAx>
      <c:valAx>
        <c:axId val="12955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250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Resultados pós Aplicação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v>Resultados </c:v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39-4F07-8796-C4F2C487BAA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39-4F07-8796-C4F2C487BA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'Análise I'!$G$10:$H$10</c:f>
              <c:numCache>
                <c:formatCode>_-"R$"\ * #,##0.00_-;\-"R$"\ * #,##0.00_-;_-"R$"\ * "-"??_-;_-@_-</c:formatCode>
                <c:ptCount val="2"/>
                <c:pt idx="0">
                  <c:v>-73310.430000000008</c:v>
                </c:pt>
                <c:pt idx="1">
                  <c:v>110920.89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D51-41C2-9826-1B620865788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16</xdr:row>
      <xdr:rowOff>162477</xdr:rowOff>
    </xdr:from>
    <xdr:to>
      <xdr:col>8</xdr:col>
      <xdr:colOff>0</xdr:colOff>
      <xdr:row>40</xdr:row>
      <xdr:rowOff>27709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91BDDEF-8B40-4169-86F6-0079EC6EF108}"/>
            </a:ext>
          </a:extLst>
        </xdr:cNvPr>
        <xdr:cNvSpPr txBox="1"/>
      </xdr:nvSpPr>
      <xdr:spPr>
        <a:xfrm>
          <a:off x="8463973" y="4914586"/>
          <a:ext cx="5584536" cy="5850396"/>
        </a:xfrm>
        <a:prstGeom prst="rect">
          <a:avLst/>
        </a:prstGeom>
        <a:solidFill>
          <a:schemeClr val="bg2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chemeClr val="bg1"/>
              </a:solidFill>
            </a:rPr>
            <a:t>Observações importantes (gargalos e ajustes que afetam esses números)</a:t>
          </a:r>
        </a:p>
        <a:p>
          <a:endParaRPr lang="pt-BR" sz="1400" b="1">
            <a:solidFill>
              <a:schemeClr val="bg1"/>
            </a:solidFill>
          </a:endParaRPr>
        </a:p>
        <a:p>
          <a:r>
            <a:rPr lang="pt-BR" sz="1400" b="1">
              <a:solidFill>
                <a:schemeClr val="bg1"/>
              </a:solidFill>
            </a:rPr>
            <a:t>Cura / ciclo do molde</a:t>
          </a:r>
          <a:r>
            <a:rPr lang="pt-BR" sz="1400">
              <a:solidFill>
                <a:schemeClr val="bg1"/>
              </a:solidFill>
            </a:rPr>
            <a:t>: se o processo de moldagem/injeção/curing tiver </a:t>
          </a:r>
          <a:r>
            <a:rPr lang="pt-BR" sz="1400" b="1">
              <a:solidFill>
                <a:schemeClr val="bg1"/>
              </a:solidFill>
            </a:rPr>
            <a:t>ciclo &gt; tempo de montagem</a:t>
          </a:r>
          <a:r>
            <a:rPr lang="pt-BR" sz="1400">
              <a:solidFill>
                <a:schemeClr val="bg1"/>
              </a:solidFill>
            </a:rPr>
            <a:t>, o molde será gargalo. Ex.: se o molde demora 20 minutos para curar → 3 unidades/hora por cavidade (muito abaixo das 12 un/h estimadas de montagem). Para resolver, use moldes </a:t>
          </a:r>
          <a:r>
            <a:rPr lang="pt-BR" sz="1400" b="1">
              <a:solidFill>
                <a:schemeClr val="bg1"/>
              </a:solidFill>
            </a:rPr>
            <a:t>multicavidade</a:t>
          </a:r>
          <a:r>
            <a:rPr lang="pt-BR" sz="1400">
              <a:solidFill>
                <a:schemeClr val="bg1"/>
              </a:solidFill>
            </a:rPr>
            <a:t> ou linhas de pré-curado.</a:t>
          </a:r>
        </a:p>
        <a:p>
          <a:endParaRPr lang="pt-BR" sz="1400">
            <a:solidFill>
              <a:schemeClr val="bg1"/>
            </a:solidFill>
          </a:endParaRPr>
        </a:p>
        <a:p>
          <a:r>
            <a:rPr lang="pt-BR" sz="1400" b="1">
              <a:solidFill>
                <a:schemeClr val="bg1"/>
              </a:solidFill>
            </a:rPr>
            <a:t>Operações paralelas</a:t>
          </a:r>
          <a:r>
            <a:rPr lang="pt-BR" sz="1400">
              <a:solidFill>
                <a:schemeClr val="bg1"/>
              </a:solidFill>
            </a:rPr>
            <a:t>: valores acima assumem que montagem e acabamento são a etapa limitante. Se for preciso inserir motor/vibro, testes elétricos e selagem, o tempo por peça pode ser maior que 12 min.</a:t>
          </a:r>
        </a:p>
        <a:p>
          <a:endParaRPr lang="pt-BR" sz="1400">
            <a:solidFill>
              <a:schemeClr val="bg1"/>
            </a:solidFill>
          </a:endParaRPr>
        </a:p>
        <a:p>
          <a:r>
            <a:rPr lang="pt-BR" sz="1400" b="1">
              <a:solidFill>
                <a:schemeClr val="bg1"/>
              </a:solidFill>
            </a:rPr>
            <a:t>Eficiência real</a:t>
          </a:r>
          <a:r>
            <a:rPr lang="pt-BR" sz="1400">
              <a:solidFill>
                <a:schemeClr val="bg1"/>
              </a:solidFill>
            </a:rPr>
            <a:t>: pausas, setup, manutenção e inspeção reduzem produtividade (typical OEE). Considere um fator de eficiência operacional (ex.: 80–90%). Se usar 85% de eficiência: unidades/mês × 0,85.</a:t>
          </a:r>
        </a:p>
        <a:p>
          <a:endParaRPr lang="pt-BR" sz="1400">
            <a:solidFill>
              <a:schemeClr val="bg1"/>
            </a:solidFill>
          </a:endParaRPr>
        </a:p>
        <a:p>
          <a:r>
            <a:rPr lang="pt-BR" sz="1400" b="1">
              <a:solidFill>
                <a:schemeClr val="bg1"/>
              </a:solidFill>
            </a:rPr>
            <a:t>Automação</a:t>
          </a:r>
          <a:r>
            <a:rPr lang="pt-BR" sz="1400">
              <a:solidFill>
                <a:schemeClr val="bg1"/>
              </a:solidFill>
            </a:rPr>
            <a:t>: investir em automação (linha de montagem automática para inserir vibro, testes automatizados) reduz mão-de-obra mas aumenta CAPEX; pode reduzir o número de operadores drasticamente para o produto vibro, que é o mais intensivo em tempo.</a:t>
          </a:r>
        </a:p>
        <a:p>
          <a:endParaRPr lang="pt-BR" sz="1400">
            <a:solidFill>
              <a:schemeClr val="bg1"/>
            </a:solidFill>
          </a:endParaRPr>
        </a:p>
        <a:p>
          <a:r>
            <a:rPr lang="pt-BR" sz="1400" b="1">
              <a:solidFill>
                <a:schemeClr val="bg1"/>
              </a:solidFill>
            </a:rPr>
            <a:t>Mix de produção</a:t>
          </a:r>
          <a:r>
            <a:rPr lang="pt-BR" sz="1400">
              <a:solidFill>
                <a:schemeClr val="bg1"/>
              </a:solidFill>
            </a:rPr>
            <a:t>: se a linha produzir mistura dos três modelos, alocar tempos e prioridades. Um plano típico: produzir lotes grandes da maciça e lotes menores (ou terceirizar) do vibro para evitar grande demanda de operadores.</a:t>
          </a:r>
        </a:p>
      </xdr:txBody>
    </xdr:sp>
    <xdr:clientData/>
  </xdr:twoCellAnchor>
  <xdr:twoCellAnchor editAs="oneCell">
    <xdr:from>
      <xdr:col>5</xdr:col>
      <xdr:colOff>1678291</xdr:colOff>
      <xdr:row>0</xdr:row>
      <xdr:rowOff>43544</xdr:rowOff>
    </xdr:from>
    <xdr:to>
      <xdr:col>6</xdr:col>
      <xdr:colOff>564067</xdr:colOff>
      <xdr:row>0</xdr:row>
      <xdr:rowOff>936172</xdr:rowOff>
    </xdr:to>
    <xdr:pic>
      <xdr:nvPicPr>
        <xdr:cNvPr id="3" name="Imagem 2" descr="HotFlowers">
          <a:extLst>
            <a:ext uri="{FF2B5EF4-FFF2-40B4-BE49-F238E27FC236}">
              <a16:creationId xmlns:a16="http://schemas.microsoft.com/office/drawing/2014/main" id="{4A5D062F-85C4-7AA9-6E25-AABBB9292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77" y="43544"/>
          <a:ext cx="1831269" cy="892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8992</xdr:colOff>
      <xdr:row>0</xdr:row>
      <xdr:rowOff>369687</xdr:rowOff>
    </xdr:from>
    <xdr:to>
      <xdr:col>2</xdr:col>
      <xdr:colOff>870857</xdr:colOff>
      <xdr:row>0</xdr:row>
      <xdr:rowOff>653142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C3FF9FA2-4C49-4BB9-9677-BD3FA733F999}"/>
            </a:ext>
          </a:extLst>
        </xdr:cNvPr>
        <xdr:cNvSpPr txBox="1"/>
      </xdr:nvSpPr>
      <xdr:spPr>
        <a:xfrm>
          <a:off x="618592" y="369687"/>
          <a:ext cx="3496208" cy="2834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600" i="1" u="none"/>
            <a:t>Created</a:t>
          </a:r>
          <a:r>
            <a:rPr lang="pt-BR" sz="1600" i="1" u="none" baseline="0"/>
            <a:t> By: Leônidas Caliel &amp; Thomas William Bissoli</a:t>
          </a:r>
          <a:endParaRPr lang="pt-BR" sz="1600" i="1" u="none"/>
        </a:p>
      </xdr:txBody>
    </xdr:sp>
    <xdr:clientData/>
  </xdr:twoCellAnchor>
  <xdr:oneCellAnchor>
    <xdr:from>
      <xdr:col>9</xdr:col>
      <xdr:colOff>36265</xdr:colOff>
      <xdr:row>16</xdr:row>
      <xdr:rowOff>184252</xdr:rowOff>
    </xdr:from>
    <xdr:ext cx="5893479" cy="5800912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788085F3-6E91-2B4D-5ED0-3B5232E63468}"/>
            </a:ext>
          </a:extLst>
        </xdr:cNvPr>
        <xdr:cNvSpPr txBox="1"/>
      </xdr:nvSpPr>
      <xdr:spPr>
        <a:xfrm>
          <a:off x="15068447" y="4936361"/>
          <a:ext cx="5893479" cy="5800912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400" b="1" u="none">
              <a:solidFill>
                <a:schemeClr val="bg1"/>
              </a:solidFill>
            </a:rPr>
            <a:t>Observações importantes e recomendações</a:t>
          </a:r>
        </a:p>
        <a:p>
          <a:endParaRPr lang="pt-BR" sz="1400" b="1" u="none">
            <a:solidFill>
              <a:schemeClr val="bg1"/>
            </a:solidFill>
          </a:endParaRPr>
        </a:p>
        <a:p>
          <a:r>
            <a:rPr lang="pt-BR" sz="1400" b="1" u="none">
              <a:solidFill>
                <a:schemeClr val="bg1"/>
              </a:solidFill>
            </a:rPr>
            <a:t>Variação por volume</a:t>
          </a:r>
          <a:r>
            <a:rPr lang="pt-BR" sz="1400" u="none">
              <a:solidFill>
                <a:schemeClr val="bg1"/>
              </a:solidFill>
            </a:rPr>
            <a:t>: preços unitários caem bastante com compras por tonelada (silicone) e com grandes lotes de motores/baterias/embalagem. Peça cotações MOQ (500, 1.000, 5.000, 50.000).</a:t>
          </a:r>
        </a:p>
        <a:p>
          <a:endParaRPr lang="pt-BR" sz="1400" u="none">
            <a:solidFill>
              <a:schemeClr val="bg1"/>
            </a:solidFill>
          </a:endParaRPr>
        </a:p>
        <a:p>
          <a:r>
            <a:rPr lang="pt-BR" sz="1400" b="1" u="none">
              <a:solidFill>
                <a:schemeClr val="bg1"/>
              </a:solidFill>
            </a:rPr>
            <a:t>Moldes</a:t>
          </a:r>
          <a:r>
            <a:rPr lang="pt-BR" sz="1400" u="none">
              <a:solidFill>
                <a:schemeClr val="bg1"/>
              </a:solidFill>
            </a:rPr>
            <a:t>: custo do molde pode variar muito (simples vs multicavidade, aço vs alumínio). Se possível, usar </a:t>
          </a:r>
          <a:r>
            <a:rPr lang="pt-BR" sz="1400" b="1" u="none">
              <a:solidFill>
                <a:schemeClr val="bg1"/>
              </a:solidFill>
            </a:rPr>
            <a:t>moldes multicavidade</a:t>
          </a:r>
          <a:r>
            <a:rPr lang="pt-BR" sz="1400" u="none">
              <a:solidFill>
                <a:schemeClr val="bg1"/>
              </a:solidFill>
            </a:rPr>
            <a:t> ou terceirizar injeção para reduzir amortização por peça. </a:t>
          </a:r>
        </a:p>
        <a:p>
          <a:endParaRPr lang="pt-BR" sz="1400" u="none">
            <a:solidFill>
              <a:schemeClr val="bg1"/>
            </a:solidFill>
          </a:endParaRPr>
        </a:p>
        <a:p>
          <a:r>
            <a:rPr lang="pt-BR" sz="1400" b="1" u="none">
              <a:solidFill>
                <a:schemeClr val="bg1"/>
              </a:solidFill>
            </a:rPr>
            <a:t>Substituições</a:t>
          </a:r>
          <a:r>
            <a:rPr lang="pt-BR" sz="1400" u="none">
              <a:solidFill>
                <a:schemeClr val="bg1"/>
              </a:solidFill>
            </a:rPr>
            <a:t>: se o vibro usar bateria recarregável integrada, custo inicial de bateria/eletrônica sobe, mas o cliente pode valorizar; já o uso de pilhas reduz custo inicial por peça.</a:t>
          </a:r>
        </a:p>
        <a:p>
          <a:endParaRPr lang="pt-BR" sz="1400" u="none">
            <a:solidFill>
              <a:schemeClr val="bg1"/>
            </a:solidFill>
          </a:endParaRPr>
        </a:p>
        <a:p>
          <a:r>
            <a:rPr lang="pt-BR" sz="1400" b="1" u="none">
              <a:solidFill>
                <a:schemeClr val="bg1"/>
              </a:solidFill>
            </a:rPr>
            <a:t>Regulamentação e certificação</a:t>
          </a:r>
          <a:r>
            <a:rPr lang="pt-BR" sz="1400" u="none">
              <a:solidFill>
                <a:schemeClr val="bg1"/>
              </a:solidFill>
            </a:rPr>
            <a:t>: materiais devem ser seguros (livres de ftalatos, biocompatíveis). Custos de certificação/ensaios não incluídos aqui.</a:t>
          </a:r>
        </a:p>
        <a:p>
          <a:endParaRPr lang="pt-BR" sz="1400" u="none">
            <a:solidFill>
              <a:schemeClr val="bg1"/>
            </a:solidFill>
          </a:endParaRPr>
        </a:p>
        <a:p>
          <a:r>
            <a:rPr lang="pt-BR" sz="1400" b="1" u="none">
              <a:solidFill>
                <a:schemeClr val="bg1"/>
              </a:solidFill>
            </a:rPr>
            <a:t>Margem comercial</a:t>
          </a:r>
          <a:r>
            <a:rPr lang="pt-BR" sz="1400" u="none">
              <a:solidFill>
                <a:schemeClr val="bg1"/>
              </a:solidFill>
            </a:rPr>
            <a:t>: para precificação final, adicione margem desejada (ex.: 40–100%) e custos de distribuição, marketing, impostos e eventuais taxas ANVISA/órgãos regionais (se aplicável) — não incluídos nesta tabela.</a:t>
          </a:r>
        </a:p>
      </xdr:txBody>
    </xdr:sp>
    <xdr:clientData/>
  </xdr:oneCellAnchor>
  <xdr:twoCellAnchor editAs="oneCell">
    <xdr:from>
      <xdr:col>16</xdr:col>
      <xdr:colOff>797329</xdr:colOff>
      <xdr:row>0</xdr:row>
      <xdr:rowOff>13855</xdr:rowOff>
    </xdr:from>
    <xdr:to>
      <xdr:col>16</xdr:col>
      <xdr:colOff>2316655</xdr:colOff>
      <xdr:row>0</xdr:row>
      <xdr:rowOff>913015</xdr:rowOff>
    </xdr:to>
    <xdr:pic>
      <xdr:nvPicPr>
        <xdr:cNvPr id="6" name="Imagem 5" descr="Vestibular | Centro Paula Souza">
          <a:extLst>
            <a:ext uri="{FF2B5EF4-FFF2-40B4-BE49-F238E27FC236}">
              <a16:creationId xmlns:a16="http://schemas.microsoft.com/office/drawing/2014/main" id="{7B2FFB1C-3589-1DF1-4576-3FB7517DF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84202" y="13855"/>
          <a:ext cx="1519326" cy="89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401783</xdr:colOff>
      <xdr:row>12</xdr:row>
      <xdr:rowOff>207819</xdr:rowOff>
    </xdr:from>
    <xdr:ext cx="7716982" cy="749821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CB8A123A-A8E1-7932-92A0-DC2116C0DD0D}"/>
            </a:ext>
          </a:extLst>
        </xdr:cNvPr>
        <xdr:cNvSpPr txBox="1"/>
      </xdr:nvSpPr>
      <xdr:spPr>
        <a:xfrm>
          <a:off x="21336001" y="3768437"/>
          <a:ext cx="7716982" cy="749821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>
              <a:solidFill>
                <a:schemeClr val="bg1"/>
              </a:solidFill>
            </a:rPr>
            <a:t>Conseguimos identificar</a:t>
          </a:r>
          <a:r>
            <a:rPr lang="pt-BR" sz="1400" baseline="0">
              <a:solidFill>
                <a:schemeClr val="bg1"/>
              </a:solidFill>
            </a:rPr>
            <a:t> um</a:t>
          </a:r>
          <a:r>
            <a:rPr lang="pt-BR" sz="1400" baseline="0">
              <a:solidFill>
                <a:srgbClr val="FF0000"/>
              </a:solidFill>
            </a:rPr>
            <a:t> problema </a:t>
          </a:r>
          <a:r>
            <a:rPr lang="pt-BR" sz="1400" baseline="0">
              <a:solidFill>
                <a:schemeClr val="bg1"/>
              </a:solidFill>
            </a:rPr>
            <a:t>financeiro no lucro líquido total, os produtos em vermelho estão negativos.</a:t>
          </a:r>
        </a:p>
        <a:p>
          <a:r>
            <a:rPr lang="pt-BR" sz="1400" baseline="0">
              <a:solidFill>
                <a:schemeClr val="bg1"/>
              </a:solidFill>
            </a:rPr>
            <a:t>O nosso objetivo agora é neutralizar esse prejuízo com base nos dados presentes.</a:t>
          </a:r>
          <a:endParaRPr lang="pt-BR" sz="1400">
            <a:solidFill>
              <a:schemeClr val="bg1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106680</xdr:colOff>
      <xdr:row>13</xdr:row>
      <xdr:rowOff>45720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71E712D-4C5D-D8F1-BA88-DE346AEE7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114300</xdr:colOff>
      <xdr:row>0</xdr:row>
      <xdr:rowOff>0</xdr:rowOff>
    </xdr:from>
    <xdr:to>
      <xdr:col>13</xdr:col>
      <xdr:colOff>91440</xdr:colOff>
      <xdr:row>13</xdr:row>
      <xdr:rowOff>53340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77445E-FC18-7073-C4F0-F5F727FAF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13</xdr:row>
      <xdr:rowOff>53340</xdr:rowOff>
    </xdr:from>
    <xdr:to>
      <xdr:col>6</xdr:col>
      <xdr:colOff>106680</xdr:colOff>
      <xdr:row>28</xdr:row>
      <xdr:rowOff>53340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041997F-8C3D-A7F0-A856-8BE627AE8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114300</xdr:colOff>
      <xdr:row>13</xdr:row>
      <xdr:rowOff>60960</xdr:rowOff>
    </xdr:from>
    <xdr:to>
      <xdr:col>14</xdr:col>
      <xdr:colOff>327660</xdr:colOff>
      <xdr:row>28</xdr:row>
      <xdr:rowOff>68580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0261D31-7425-0970-5FF4-CB03ADBC7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106680</xdr:colOff>
      <xdr:row>0</xdr:row>
      <xdr:rowOff>0</xdr:rowOff>
    </xdr:from>
    <xdr:to>
      <xdr:col>20</xdr:col>
      <xdr:colOff>91440</xdr:colOff>
      <xdr:row>13</xdr:row>
      <xdr:rowOff>60960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64856A2-B1AF-D411-25D5-41E6CABA9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87085</xdr:rowOff>
    </xdr:from>
    <xdr:ext cx="3559629" cy="249283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4E656D1-F632-9560-54C3-F41F81676FCB}"/>
            </a:ext>
          </a:extLst>
        </xdr:cNvPr>
        <xdr:cNvSpPr txBox="1"/>
      </xdr:nvSpPr>
      <xdr:spPr>
        <a:xfrm>
          <a:off x="609600" y="3830410"/>
          <a:ext cx="3559629" cy="2492830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200" b="1">
              <a:solidFill>
                <a:schemeClr val="bg1"/>
              </a:solidFill>
            </a:rPr>
            <a:t>Restrições (SOLVER)</a:t>
          </a:r>
        </a:p>
        <a:p>
          <a:endParaRPr lang="pt-BR" sz="1200" b="1">
            <a:solidFill>
              <a:schemeClr val="bg1"/>
            </a:solidFill>
          </a:endParaRPr>
        </a:p>
        <a:p>
          <a:r>
            <a:rPr lang="pt-BR" sz="1200">
              <a:solidFill>
                <a:schemeClr val="bg1"/>
              </a:solidFill>
            </a:rPr>
            <a:t>Cada produto consome um número específico de </a:t>
          </a:r>
          <a:r>
            <a:rPr lang="pt-BR" sz="1200" b="1">
              <a:solidFill>
                <a:schemeClr val="bg1"/>
              </a:solidFill>
            </a:rPr>
            <a:t>horas de produção por unidade</a:t>
          </a:r>
          <a:r>
            <a:rPr lang="pt-BR" sz="1200">
              <a:solidFill>
                <a:schemeClr val="bg1"/>
              </a:solidFill>
            </a:rPr>
            <a:t>.</a:t>
          </a:r>
          <a:br>
            <a:rPr lang="pt-BR" sz="1200">
              <a:solidFill>
                <a:schemeClr val="bg1"/>
              </a:solidFill>
            </a:rPr>
          </a:br>
          <a:r>
            <a:rPr lang="pt-BR" sz="1200">
              <a:solidFill>
                <a:schemeClr val="bg1"/>
              </a:solidFill>
            </a:rPr>
            <a:t>As restrições assegura que o tempo total gasto na fabricação dos dois produtos </a:t>
          </a:r>
          <a:r>
            <a:rPr lang="pt-BR" sz="1200" b="1">
              <a:solidFill>
                <a:schemeClr val="bg1"/>
              </a:solidFill>
            </a:rPr>
            <a:t>não ultrapasse a capacidade produtiva anual</a:t>
          </a:r>
          <a:r>
            <a:rPr lang="pt-BR" sz="1200">
              <a:solidFill>
                <a:schemeClr val="bg1"/>
              </a:solidFill>
            </a:rPr>
            <a:t> da empresa (62.931 horas).</a:t>
          </a:r>
        </a:p>
        <a:p>
          <a:r>
            <a:rPr lang="pt-BR" sz="1200" b="1">
              <a:solidFill>
                <a:schemeClr val="bg1"/>
              </a:solidFill>
            </a:rPr>
            <a:t>Importância:</a:t>
          </a:r>
          <a:br>
            <a:rPr lang="pt-BR" sz="1200">
              <a:solidFill>
                <a:schemeClr val="bg1"/>
              </a:solidFill>
            </a:rPr>
          </a:br>
          <a:r>
            <a:rPr lang="pt-BR" sz="1200">
              <a:solidFill>
                <a:schemeClr val="bg1"/>
              </a:solidFill>
            </a:rPr>
            <a:t>Evita que o Solver proponha uma produção maior do que a empresa pode fabricar dentro do tempo disponível.</a:t>
          </a:r>
        </a:p>
        <a:p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631370</xdr:colOff>
      <xdr:row>19</xdr:row>
      <xdr:rowOff>10885</xdr:rowOff>
    </xdr:from>
    <xdr:ext cx="7772401" cy="147014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2EEB5207-64D1-AC3E-6FDB-0CB31483D336}"/>
            </a:ext>
          </a:extLst>
        </xdr:cNvPr>
        <xdr:cNvSpPr txBox="1"/>
      </xdr:nvSpPr>
      <xdr:spPr>
        <a:xfrm>
          <a:off x="4789713" y="4136571"/>
          <a:ext cx="7772401" cy="1470146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b="1">
              <a:solidFill>
                <a:schemeClr val="bg1"/>
              </a:solidFill>
            </a:rPr>
            <a:t>3 - Restrição de Capital (limite de investimento ou custo total)</a:t>
          </a:r>
        </a:p>
        <a:p>
          <a:r>
            <a:rPr lang="pt-BR" b="1">
              <a:solidFill>
                <a:schemeClr val="bg1"/>
              </a:solidFill>
            </a:rPr>
            <a:t>Fórmula:</a:t>
          </a:r>
          <a:endParaRPr lang="pt-BR">
            <a:solidFill>
              <a:schemeClr val="bg1"/>
            </a:solidFill>
          </a:endParaRPr>
        </a:p>
        <a:p>
          <a:r>
            <a:rPr lang="pt-BR">
              <a:solidFill>
                <a:schemeClr val="bg1"/>
              </a:solidFill>
            </a:rPr>
            <a:t>0,6310680X+0,4994700Y≤1.200.0000,6310680X + 0,4994700Y ≤ 1.200.0000,6310680X+0,4994700Y≤1.200.000 </a:t>
          </a:r>
          <a:r>
            <a:rPr lang="pt-BR" b="1">
              <a:solidFill>
                <a:schemeClr val="bg1"/>
              </a:solidFill>
            </a:rPr>
            <a:t>Significado:</a:t>
          </a:r>
          <a:br>
            <a:rPr lang="pt-BR">
              <a:solidFill>
                <a:schemeClr val="bg1"/>
              </a:solidFill>
            </a:rPr>
          </a:br>
          <a:r>
            <a:rPr lang="pt-BR">
              <a:solidFill>
                <a:schemeClr val="bg1"/>
              </a:solidFill>
            </a:rPr>
            <a:t>Cada produto exige um custo de produção proporcional ao lucro gerado.</a:t>
          </a:r>
          <a:br>
            <a:rPr lang="pt-BR">
              <a:solidFill>
                <a:schemeClr val="bg1"/>
              </a:solidFill>
            </a:rPr>
          </a:br>
          <a:r>
            <a:rPr lang="pt-BR">
              <a:solidFill>
                <a:schemeClr val="bg1"/>
              </a:solidFill>
            </a:rPr>
            <a:t>Essa restrição garante que o </a:t>
          </a:r>
          <a:r>
            <a:rPr lang="pt-BR" b="1">
              <a:solidFill>
                <a:schemeClr val="bg1"/>
              </a:solidFill>
            </a:rPr>
            <a:t>custo total de produção</a:t>
          </a:r>
          <a:r>
            <a:rPr lang="pt-BR">
              <a:solidFill>
                <a:schemeClr val="bg1"/>
              </a:solidFill>
            </a:rPr>
            <a:t> permaneça dentro do </a:t>
          </a:r>
          <a:r>
            <a:rPr lang="pt-BR" b="1">
              <a:solidFill>
                <a:schemeClr val="bg1"/>
              </a:solidFill>
            </a:rPr>
            <a:t>capital anual disponível</a:t>
          </a:r>
          <a:r>
            <a:rPr lang="pt-BR">
              <a:solidFill>
                <a:schemeClr val="bg1"/>
              </a:solidFill>
            </a:rPr>
            <a:t> (R$ 1.200.000).</a:t>
          </a:r>
        </a:p>
        <a:p>
          <a:r>
            <a:rPr lang="pt-BR" b="1">
              <a:solidFill>
                <a:schemeClr val="bg1"/>
              </a:solidFill>
            </a:rPr>
            <a:t>Importância:</a:t>
          </a:r>
          <a:br>
            <a:rPr lang="pt-BR">
              <a:solidFill>
                <a:schemeClr val="bg1"/>
              </a:solidFill>
            </a:rPr>
          </a:br>
          <a:r>
            <a:rPr lang="pt-BR">
              <a:solidFill>
                <a:schemeClr val="bg1"/>
              </a:solidFill>
            </a:rPr>
            <a:t>Impede que o Solver “aumente” a produção de forma irrealista, respeitando o orçamento da empresa.</a:t>
          </a:r>
        </a:p>
        <a:p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642255</xdr:colOff>
      <xdr:row>27</xdr:row>
      <xdr:rowOff>130630</xdr:rowOff>
    </xdr:from>
    <xdr:ext cx="7772401" cy="1470146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58684B4A-324C-9A84-3F91-E459F9CE1B22}"/>
            </a:ext>
          </a:extLst>
        </xdr:cNvPr>
        <xdr:cNvSpPr txBox="1"/>
      </xdr:nvSpPr>
      <xdr:spPr>
        <a:xfrm>
          <a:off x="4800598" y="5736773"/>
          <a:ext cx="7772401" cy="1470146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b="1">
              <a:solidFill>
                <a:schemeClr val="bg1"/>
              </a:solidFill>
            </a:rPr>
            <a:t>4 - Restrição de Demanda Máxima (limite de vendas)</a:t>
          </a:r>
        </a:p>
        <a:p>
          <a:r>
            <a:rPr lang="pt-BR" b="1">
              <a:solidFill>
                <a:schemeClr val="bg1"/>
              </a:solidFill>
            </a:rPr>
            <a:t>Fórmulas:</a:t>
          </a:r>
          <a:endParaRPr lang="pt-BR">
            <a:solidFill>
              <a:schemeClr val="bg1"/>
            </a:solidFill>
          </a:endParaRPr>
        </a:p>
        <a:p>
          <a:r>
            <a:rPr lang="pt-BR">
              <a:solidFill>
                <a:schemeClr val="bg1"/>
              </a:solidFill>
            </a:rPr>
            <a:t>X≤59.559,75eY≤51.361,14X ≤ 59.559,75 \quad \text{e} \quad Y ≤ 51.361,14X≤59.559,75eY≤51.361,14 </a:t>
          </a:r>
          <a:r>
            <a:rPr lang="pt-BR" b="1">
              <a:solidFill>
                <a:schemeClr val="bg1"/>
              </a:solidFill>
            </a:rPr>
            <a:t>Significado:</a:t>
          </a:r>
          <a:br>
            <a:rPr lang="pt-BR">
              <a:solidFill>
                <a:schemeClr val="bg1"/>
              </a:solidFill>
            </a:rPr>
          </a:br>
          <a:r>
            <a:rPr lang="pt-BR">
              <a:solidFill>
                <a:schemeClr val="bg1"/>
              </a:solidFill>
            </a:rPr>
            <a:t>Mesmo que a empresa tenha capacidade e capital, há um limite de mercado para o número de unidades vendidas de cada produto.</a:t>
          </a:r>
          <a:br>
            <a:rPr lang="pt-BR">
              <a:solidFill>
                <a:schemeClr val="bg1"/>
              </a:solidFill>
            </a:rPr>
          </a:br>
          <a:r>
            <a:rPr lang="pt-BR">
              <a:solidFill>
                <a:schemeClr val="bg1"/>
              </a:solidFill>
            </a:rPr>
            <a:t>Esses valores correspondem ao </a:t>
          </a:r>
          <a:r>
            <a:rPr lang="pt-BR" b="1">
              <a:solidFill>
                <a:schemeClr val="bg1"/>
              </a:solidFill>
            </a:rPr>
            <a:t>lucro máximo possível</a:t>
          </a:r>
          <a:r>
            <a:rPr lang="pt-BR">
              <a:solidFill>
                <a:schemeClr val="bg1"/>
              </a:solidFill>
            </a:rPr>
            <a:t>, considerando a </a:t>
          </a:r>
          <a:r>
            <a:rPr lang="pt-BR" b="1">
              <a:solidFill>
                <a:schemeClr val="bg1"/>
              </a:solidFill>
            </a:rPr>
            <a:t>demanda anual estimada</a:t>
          </a:r>
          <a:r>
            <a:rPr lang="pt-BR">
              <a:solidFill>
                <a:schemeClr val="bg1"/>
              </a:solidFill>
            </a:rPr>
            <a:t> de cada produto.</a:t>
          </a:r>
        </a:p>
        <a:p>
          <a:r>
            <a:rPr lang="pt-BR" b="1">
              <a:solidFill>
                <a:schemeClr val="bg1"/>
              </a:solidFill>
            </a:rPr>
            <a:t>Importância:</a:t>
          </a:r>
          <a:br>
            <a:rPr lang="pt-BR">
              <a:solidFill>
                <a:schemeClr val="bg1"/>
              </a:solidFill>
            </a:rPr>
          </a:br>
          <a:r>
            <a:rPr lang="pt-BR">
              <a:solidFill>
                <a:schemeClr val="bg1"/>
              </a:solidFill>
            </a:rPr>
            <a:t>Evita que o Solver proponha lucros irreais acima do que o mercado pode absorver.</a:t>
          </a:r>
        </a:p>
        <a:p>
          <a:endParaRPr lang="pt-BR" sz="11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631370</xdr:colOff>
      <xdr:row>10</xdr:row>
      <xdr:rowOff>217713</xdr:rowOff>
    </xdr:from>
    <xdr:ext cx="7750630" cy="1642373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9D1517ED-D07D-BD17-93DD-AE13C5A7C3EF}"/>
            </a:ext>
          </a:extLst>
        </xdr:cNvPr>
        <xdr:cNvSpPr txBox="1"/>
      </xdr:nvSpPr>
      <xdr:spPr>
        <a:xfrm>
          <a:off x="4789713" y="2373084"/>
          <a:ext cx="7750630" cy="1642373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b="1">
              <a:solidFill>
                <a:schemeClr val="bg1"/>
              </a:solidFill>
            </a:rPr>
            <a:t>2</a:t>
          </a:r>
          <a:r>
            <a:rPr lang="pt-BR" b="1" baseline="0">
              <a:solidFill>
                <a:schemeClr val="bg1"/>
              </a:solidFill>
            </a:rPr>
            <a:t> - </a:t>
          </a:r>
          <a:r>
            <a:rPr lang="pt-BR" b="1">
              <a:solidFill>
                <a:schemeClr val="bg1"/>
              </a:solidFill>
            </a:rPr>
            <a:t>Restrição de Capacidade Produtiva (horas disponíveis)</a:t>
          </a:r>
        </a:p>
        <a:p>
          <a:r>
            <a:rPr lang="pt-BR" b="1">
              <a:solidFill>
                <a:schemeClr val="bg1"/>
              </a:solidFill>
            </a:rPr>
            <a:t>Fórmula:</a:t>
          </a:r>
          <a:endParaRPr lang="pt-BR">
            <a:solidFill>
              <a:schemeClr val="bg1"/>
            </a:solidFill>
          </a:endParaRPr>
        </a:p>
        <a:p>
          <a:r>
            <a:rPr lang="pt-BR">
              <a:solidFill>
                <a:schemeClr val="bg1"/>
              </a:solidFill>
            </a:rPr>
            <a:t>0,1941667X+0,2116700Y≤62.9310,1941667X + 0,2116700Y ≤ 62.9310,1941667X+0,2116700Y≤62.931 </a:t>
          </a:r>
          <a:r>
            <a:rPr lang="pt-BR" b="1">
              <a:solidFill>
                <a:schemeClr val="bg1"/>
              </a:solidFill>
            </a:rPr>
            <a:t>Significado:</a:t>
          </a:r>
          <a:br>
            <a:rPr lang="pt-BR">
              <a:solidFill>
                <a:schemeClr val="bg1"/>
              </a:solidFill>
            </a:rPr>
          </a:br>
          <a:r>
            <a:rPr lang="pt-BR">
              <a:solidFill>
                <a:schemeClr val="bg1"/>
              </a:solidFill>
            </a:rPr>
            <a:t>Cada produto consome um número específico de </a:t>
          </a:r>
          <a:r>
            <a:rPr lang="pt-BR" b="1">
              <a:solidFill>
                <a:schemeClr val="bg1"/>
              </a:solidFill>
            </a:rPr>
            <a:t>horas de produção por unidade</a:t>
          </a:r>
          <a:r>
            <a:rPr lang="pt-BR">
              <a:solidFill>
                <a:schemeClr val="bg1"/>
              </a:solidFill>
            </a:rPr>
            <a:t>.</a:t>
          </a:r>
          <a:br>
            <a:rPr lang="pt-BR">
              <a:solidFill>
                <a:schemeClr val="bg1"/>
              </a:solidFill>
            </a:rPr>
          </a:br>
          <a:r>
            <a:rPr lang="pt-BR">
              <a:solidFill>
                <a:schemeClr val="bg1"/>
              </a:solidFill>
            </a:rPr>
            <a:t>Essa restrição assegura que o tempo total gasto na fabricação dos dois produtos </a:t>
          </a:r>
          <a:r>
            <a:rPr lang="pt-BR" b="1">
              <a:solidFill>
                <a:schemeClr val="bg1"/>
              </a:solidFill>
            </a:rPr>
            <a:t>não ultrapasse a capacidade produtiva anual</a:t>
          </a:r>
          <a:r>
            <a:rPr lang="pt-BR">
              <a:solidFill>
                <a:schemeClr val="bg1"/>
              </a:solidFill>
            </a:rPr>
            <a:t> da empresa (62.931 horas).</a:t>
          </a:r>
        </a:p>
        <a:p>
          <a:r>
            <a:rPr lang="pt-BR" b="1">
              <a:solidFill>
                <a:schemeClr val="bg1"/>
              </a:solidFill>
            </a:rPr>
            <a:t>Importância:</a:t>
          </a:r>
          <a:br>
            <a:rPr lang="pt-BR">
              <a:solidFill>
                <a:schemeClr val="bg1"/>
              </a:solidFill>
            </a:rPr>
          </a:br>
          <a:r>
            <a:rPr lang="pt-BR">
              <a:solidFill>
                <a:schemeClr val="bg1"/>
              </a:solidFill>
            </a:rPr>
            <a:t>Evita que o Solver proponha uma produção maior do que a empresa pode fabricar dentro do tempo disponível.</a:t>
          </a:r>
        </a:p>
        <a:p>
          <a:endParaRPr lang="pt-BR" sz="1100">
            <a:solidFill>
              <a:schemeClr val="bg1"/>
            </a:solidFill>
          </a:endParaRPr>
        </a:p>
      </xdr:txBody>
    </xdr:sp>
    <xdr:clientData/>
  </xdr:oneCellAnchor>
  <xdr:twoCellAnchor>
    <xdr:from>
      <xdr:col>5</xdr:col>
      <xdr:colOff>1817912</xdr:colOff>
      <xdr:row>10</xdr:row>
      <xdr:rowOff>119742</xdr:rowOff>
    </xdr:from>
    <xdr:to>
      <xdr:col>8</xdr:col>
      <xdr:colOff>0</xdr:colOff>
      <xdr:row>16</xdr:row>
      <xdr:rowOff>185057</xdr:rowOff>
    </xdr:to>
    <xdr:sp macro="" textlink="">
      <xdr:nvSpPr>
        <xdr:cNvPr id="3073" name="Text Box 1">
          <a:extLst>
            <a:ext uri="{FF2B5EF4-FFF2-40B4-BE49-F238E27FC236}">
              <a16:creationId xmlns:a16="http://schemas.microsoft.com/office/drawing/2014/main" id="{4DCBF343-1F07-57B8-825A-9535479E8516}"/>
            </a:ext>
          </a:extLst>
        </xdr:cNvPr>
        <xdr:cNvSpPr txBox="1">
          <a:spLocks noChangeArrowheads="1"/>
        </xdr:cNvSpPr>
      </xdr:nvSpPr>
      <xdr:spPr bwMode="auto">
        <a:xfrm>
          <a:off x="13215255" y="2275113"/>
          <a:ext cx="5116288" cy="1436915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pt-BR" sz="1100" b="0" i="0" u="none" strike="noStrike" baseline="0">
              <a:solidFill>
                <a:schemeClr val="bg1"/>
              </a:solidFill>
              <a:latin typeface="Aptos Narrow"/>
            </a:rPr>
            <a:t>Realizamos a aplicação do Solver utilizando programação linear com o objetivo de reverter os prejuízos e maximizar o lucro da empresa. Foram consideradas as limitações reais de produção, capital e demanda, garantindo que as decisões simuladas estivessem dentro da capacidade operacional da HotFlowers. Dessa forma, o modelo permitiu identificar o ponto de equilíbrio ideal entre custo, tempo e receita, orientando ajustes estratégicos para que os produtos deixem de gerar perdas e passem a contribuir positivamente para o resultado financeiro da empresa.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76ABD-2477-43B1-9ACA-B6BBD50255AB}">
  <dimension ref="A1:S44"/>
  <sheetViews>
    <sheetView zoomScale="55" zoomScaleNormal="55" workbookViewId="0">
      <selection activeCell="F14" sqref="F14"/>
    </sheetView>
  </sheetViews>
  <sheetFormatPr defaultRowHeight="14.45"/>
  <cols>
    <col min="2" max="2" width="48.140625" bestFit="1" customWidth="1"/>
    <col min="3" max="3" width="43.7109375" bestFit="1" customWidth="1"/>
    <col min="4" max="4" width="13.7109375" bestFit="1" customWidth="1"/>
    <col min="6" max="6" width="42.7109375" bestFit="1" customWidth="1"/>
    <col min="7" max="7" width="28" bestFit="1" customWidth="1"/>
    <col min="8" max="8" width="18.42578125" bestFit="1" customWidth="1"/>
    <col min="9" max="9" width="6.7109375" customWidth="1"/>
    <col min="10" max="10" width="42.85546875" bestFit="1" customWidth="1"/>
    <col min="11" max="11" width="20.85546875" bestFit="1" customWidth="1"/>
    <col min="12" max="12" width="22.28515625" bestFit="1" customWidth="1"/>
    <col min="13" max="13" width="20.85546875" bestFit="1" customWidth="1"/>
    <col min="14" max="14" width="20.85546875" customWidth="1"/>
    <col min="15" max="15" width="25.7109375" customWidth="1"/>
    <col min="16" max="16" width="20.85546875" customWidth="1"/>
    <col min="17" max="17" width="35" customWidth="1"/>
    <col min="18" max="18" width="17.85546875" bestFit="1" customWidth="1"/>
    <col min="19" max="19" width="16.85546875" bestFit="1" customWidth="1"/>
    <col min="20" max="20" width="40.7109375" bestFit="1" customWidth="1"/>
  </cols>
  <sheetData>
    <row r="1" spans="1:19" ht="76.150000000000006" customHeigh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55"/>
    </row>
    <row r="2" spans="1:19" ht="21">
      <c r="A2" s="74" t="s">
        <v>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29"/>
      <c r="O2" s="29"/>
      <c r="P2" s="29"/>
      <c r="Q2" s="28" t="s">
        <v>1</v>
      </c>
      <c r="R2" s="55"/>
    </row>
    <row r="3" spans="1:19" ht="21">
      <c r="A3" s="76" t="s">
        <v>2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30"/>
      <c r="O3" s="30"/>
      <c r="P3" s="30"/>
      <c r="Q3" s="27" t="s">
        <v>3</v>
      </c>
      <c r="R3" s="55"/>
    </row>
    <row r="4" spans="1:19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</row>
    <row r="5" spans="1:19" ht="18">
      <c r="A5" s="55"/>
      <c r="B5" s="69" t="s">
        <v>4</v>
      </c>
      <c r="C5" s="69"/>
      <c r="D5" s="69"/>
      <c r="E5" s="65"/>
      <c r="F5" s="69" t="s">
        <v>5</v>
      </c>
      <c r="G5" s="69"/>
      <c r="H5" s="69"/>
      <c r="I5" s="66"/>
      <c r="J5" s="69" t="s">
        <v>6</v>
      </c>
      <c r="K5" s="69"/>
      <c r="L5" s="69"/>
      <c r="M5" s="69"/>
      <c r="N5" s="69"/>
      <c r="O5" s="69"/>
      <c r="P5" s="69"/>
      <c r="Q5" s="69"/>
      <c r="R5" s="55"/>
    </row>
    <row r="6" spans="1:19" ht="18">
      <c r="A6" s="55"/>
      <c r="B6" s="3" t="s">
        <v>7</v>
      </c>
      <c r="C6" s="3" t="s">
        <v>8</v>
      </c>
      <c r="D6" s="3" t="s">
        <v>9</v>
      </c>
      <c r="E6" s="65"/>
      <c r="F6" s="3" t="s">
        <v>10</v>
      </c>
      <c r="G6" s="33" t="s">
        <v>11</v>
      </c>
      <c r="H6" s="33" t="s">
        <v>12</v>
      </c>
      <c r="I6" s="66"/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55"/>
    </row>
    <row r="7" spans="1:19" ht="18">
      <c r="A7" s="55"/>
      <c r="B7" s="4" t="s">
        <v>21</v>
      </c>
      <c r="C7" s="4">
        <v>2313</v>
      </c>
      <c r="D7" s="4">
        <f>C7/12</f>
        <v>192.75</v>
      </c>
      <c r="E7" s="65"/>
      <c r="F7" s="5" t="s">
        <v>22</v>
      </c>
      <c r="G7" s="34">
        <v>3437.31</v>
      </c>
      <c r="H7" s="34">
        <f>G7*3</f>
        <v>10311.93</v>
      </c>
      <c r="I7" s="66"/>
      <c r="J7" s="6" t="s">
        <v>21</v>
      </c>
      <c r="K7" s="7">
        <v>16.25</v>
      </c>
      <c r="L7" s="7">
        <v>42</v>
      </c>
      <c r="M7" s="7">
        <f>L7-K7</f>
        <v>25.75</v>
      </c>
      <c r="N7" s="7">
        <f>((K7*D7)*3)+H7+H8</f>
        <v>32425.477500000001</v>
      </c>
      <c r="O7" s="7">
        <f>(D7*L7)*3</f>
        <v>24286.5</v>
      </c>
      <c r="P7" s="31">
        <f>C7*L7</f>
        <v>97146</v>
      </c>
      <c r="Q7" s="35">
        <f>(M7*C7)-(G7+G8)*12</f>
        <v>-32555.910000000003</v>
      </c>
      <c r="R7" s="55"/>
      <c r="S7" s="1"/>
    </row>
    <row r="8" spans="1:19" ht="18">
      <c r="A8" s="55"/>
      <c r="B8" s="3" t="s">
        <v>23</v>
      </c>
      <c r="C8" s="62"/>
      <c r="D8" s="63"/>
      <c r="E8" s="65"/>
      <c r="F8" s="4" t="s">
        <v>24</v>
      </c>
      <c r="G8" s="34">
        <f>50867.94/12</f>
        <v>4238.9949999999999</v>
      </c>
      <c r="H8" s="34">
        <f>G8*3</f>
        <v>12716.985000000001</v>
      </c>
      <c r="I8" s="66"/>
      <c r="J8" s="6" t="s">
        <v>25</v>
      </c>
      <c r="K8" s="7">
        <v>28.31</v>
      </c>
      <c r="L8" s="7">
        <v>85</v>
      </c>
      <c r="M8" s="7">
        <f t="shared" ref="M8:M9" si="0">L8-K8</f>
        <v>56.69</v>
      </c>
      <c r="N8" s="7">
        <f>((K8*D9)*3)+H7+H8</f>
        <v>29441.13</v>
      </c>
      <c r="O8" s="7">
        <f>(L8*D9)*3</f>
        <v>19252.5</v>
      </c>
      <c r="P8" s="31">
        <f>C9*L8</f>
        <v>77010</v>
      </c>
      <c r="Q8" s="35">
        <f>(M8*C9)-(G7+G8)*12</f>
        <v>-40754.520000000004</v>
      </c>
      <c r="R8" s="55"/>
    </row>
    <row r="9" spans="1:19" ht="18">
      <c r="A9" s="55"/>
      <c r="B9" s="4" t="s">
        <v>25</v>
      </c>
      <c r="C9" s="8">
        <v>906</v>
      </c>
      <c r="D9" s="8">
        <f>C9/12</f>
        <v>75.5</v>
      </c>
      <c r="E9" s="65"/>
      <c r="F9" s="68"/>
      <c r="G9" s="68"/>
      <c r="H9" s="68"/>
      <c r="I9" s="66"/>
      <c r="J9" s="6" t="s">
        <v>26</v>
      </c>
      <c r="K9" s="7">
        <v>16.75</v>
      </c>
      <c r="L9" s="7">
        <v>48</v>
      </c>
      <c r="M9" s="7">
        <f t="shared" si="0"/>
        <v>31.25</v>
      </c>
      <c r="N9" s="7">
        <f>((K9*D11)*3)+H7+H8</f>
        <v>78421.164999999994</v>
      </c>
      <c r="O9" s="7">
        <f>(L9*D11)*3</f>
        <v>158736</v>
      </c>
      <c r="P9" s="31">
        <f>C11*L9</f>
        <v>634944</v>
      </c>
      <c r="Q9" s="32">
        <f>(M9*C11)-((G7+G8)*12)</f>
        <v>321259.33999999997</v>
      </c>
      <c r="R9" s="55"/>
    </row>
    <row r="10" spans="1:19" ht="18">
      <c r="A10" s="55"/>
      <c r="B10" s="3" t="s">
        <v>27</v>
      </c>
      <c r="C10" s="62"/>
      <c r="D10" s="63"/>
      <c r="E10" s="65"/>
      <c r="F10" s="78"/>
      <c r="G10" s="78"/>
      <c r="H10" s="78"/>
      <c r="I10" s="66"/>
      <c r="J10" s="2"/>
      <c r="K10" s="2"/>
      <c r="L10" s="2"/>
      <c r="M10" s="67"/>
      <c r="N10" s="67"/>
      <c r="O10" s="67"/>
      <c r="P10" s="67"/>
      <c r="Q10" s="67"/>
      <c r="R10" s="55"/>
    </row>
    <row r="11" spans="1:19" ht="18">
      <c r="A11" s="55"/>
      <c r="B11" s="8" t="s">
        <v>26</v>
      </c>
      <c r="C11" s="8">
        <v>13228</v>
      </c>
      <c r="D11" s="26">
        <f>C11/12</f>
        <v>1102.3333333333333</v>
      </c>
      <c r="E11" s="65"/>
      <c r="F11" s="80" t="s">
        <v>28</v>
      </c>
      <c r="G11" s="80"/>
      <c r="H11" s="80"/>
      <c r="I11" s="66"/>
      <c r="J11" s="70" t="s">
        <v>29</v>
      </c>
      <c r="K11" s="70"/>
      <c r="L11" s="70"/>
      <c r="M11" s="53"/>
      <c r="N11" s="53"/>
      <c r="O11" s="3" t="s">
        <v>30</v>
      </c>
      <c r="P11" s="53"/>
      <c r="Q11" s="53"/>
      <c r="R11" s="55"/>
    </row>
    <row r="12" spans="1:19" ht="18">
      <c r="A12" s="55"/>
      <c r="B12" s="2"/>
      <c r="C12" s="2"/>
      <c r="D12" s="2"/>
      <c r="E12" s="65"/>
      <c r="F12" s="9" t="s">
        <v>13</v>
      </c>
      <c r="G12" s="9" t="s">
        <v>31</v>
      </c>
      <c r="H12" s="9" t="s">
        <v>32</v>
      </c>
      <c r="I12" s="66"/>
      <c r="J12" s="3" t="s">
        <v>33</v>
      </c>
      <c r="K12" s="3" t="s">
        <v>34</v>
      </c>
      <c r="L12" s="3" t="s">
        <v>35</v>
      </c>
      <c r="M12" s="53"/>
      <c r="N12" s="53"/>
      <c r="O12" s="35">
        <f>SUM(Q7:Q8)</f>
        <v>-73310.430000000008</v>
      </c>
      <c r="P12" s="53"/>
      <c r="Q12" s="53"/>
      <c r="R12" s="55"/>
    </row>
    <row r="13" spans="1:19" ht="18">
      <c r="A13" s="55"/>
      <c r="B13" s="79" t="s">
        <v>36</v>
      </c>
      <c r="C13" s="79"/>
      <c r="D13" s="79"/>
      <c r="E13" s="65"/>
      <c r="F13" s="10" t="s">
        <v>21</v>
      </c>
      <c r="G13" s="11">
        <f>0.08333*60</f>
        <v>4.9998000000000005</v>
      </c>
      <c r="H13" s="12">
        <v>12</v>
      </c>
      <c r="I13" s="66"/>
      <c r="J13" s="6" t="s">
        <v>37</v>
      </c>
      <c r="K13" s="39">
        <f>((SUM(G13:G14))*(SUM(D7,D9)))*0.15+((SUM(G13:G14))*(SUM(D7,D9)))</f>
        <v>5244.2258025000001</v>
      </c>
      <c r="L13" s="4" t="s">
        <v>38</v>
      </c>
      <c r="M13" s="53"/>
      <c r="N13" s="53"/>
      <c r="O13" s="53"/>
      <c r="P13" s="53"/>
      <c r="Q13" s="53"/>
      <c r="R13" s="55"/>
    </row>
    <row r="14" spans="1:19" ht="36">
      <c r="A14" s="55"/>
      <c r="B14" s="14" t="s">
        <v>13</v>
      </c>
      <c r="C14" s="14" t="s">
        <v>39</v>
      </c>
      <c r="D14" s="14" t="s">
        <v>40</v>
      </c>
      <c r="E14" s="65"/>
      <c r="F14" s="10" t="s">
        <v>25</v>
      </c>
      <c r="G14" s="11">
        <f>0.2*60</f>
        <v>12</v>
      </c>
      <c r="H14" s="12">
        <v>5</v>
      </c>
      <c r="I14" s="66"/>
      <c r="J14" s="6" t="s">
        <v>41</v>
      </c>
      <c r="K14" s="25">
        <v>1200000</v>
      </c>
      <c r="L14" s="4" t="s">
        <v>42</v>
      </c>
      <c r="M14" s="53"/>
      <c r="N14" s="53"/>
      <c r="O14" s="53"/>
      <c r="P14" s="53"/>
      <c r="Q14" s="53"/>
      <c r="R14" s="55"/>
    </row>
    <row r="15" spans="1:19" ht="19.899999999999999" customHeight="1">
      <c r="A15" s="55"/>
      <c r="B15" s="71" t="s">
        <v>21</v>
      </c>
      <c r="C15" s="15" t="s">
        <v>43</v>
      </c>
      <c r="D15" s="16">
        <v>10.71</v>
      </c>
      <c r="E15" s="65"/>
      <c r="F15" s="10" t="s">
        <v>26</v>
      </c>
      <c r="G15" s="12">
        <f>0.08333*60</f>
        <v>4.9998000000000005</v>
      </c>
      <c r="H15" s="12">
        <v>12</v>
      </c>
      <c r="I15" s="66"/>
      <c r="J15" s="6" t="s">
        <v>44</v>
      </c>
      <c r="K15" s="13">
        <f>3000*12</f>
        <v>36000</v>
      </c>
      <c r="L15" s="4" t="s">
        <v>45</v>
      </c>
      <c r="M15" s="53"/>
      <c r="N15" s="53"/>
      <c r="O15" s="53"/>
      <c r="P15" s="53"/>
      <c r="Q15" s="53"/>
      <c r="R15" s="55"/>
    </row>
    <row r="16" spans="1:19" ht="19.899999999999999" customHeight="1">
      <c r="A16" s="55"/>
      <c r="B16" s="72"/>
      <c r="C16" s="15" t="s">
        <v>46</v>
      </c>
      <c r="D16" s="16">
        <v>1.63</v>
      </c>
      <c r="E16" s="65"/>
      <c r="F16" s="64"/>
      <c r="G16" s="64"/>
      <c r="H16" s="64"/>
      <c r="I16" s="66"/>
      <c r="J16" s="68"/>
      <c r="K16" s="68"/>
      <c r="L16" s="68"/>
      <c r="M16" s="53"/>
      <c r="N16" s="53"/>
      <c r="O16" s="53"/>
      <c r="P16" s="53"/>
      <c r="Q16" s="53"/>
      <c r="R16" s="55"/>
    </row>
    <row r="17" spans="1:18" ht="19.899999999999999" customHeight="1">
      <c r="A17" s="55"/>
      <c r="B17" s="72"/>
      <c r="C17" s="15" t="s">
        <v>47</v>
      </c>
      <c r="D17" s="16">
        <v>0.22</v>
      </c>
      <c r="E17" s="65"/>
      <c r="F17" s="65"/>
      <c r="G17" s="65"/>
      <c r="H17" s="65"/>
      <c r="I17" s="66"/>
      <c r="J17" s="65"/>
      <c r="K17" s="65"/>
      <c r="L17" s="65"/>
      <c r="M17" s="53"/>
      <c r="N17" s="53"/>
      <c r="O17" s="53"/>
      <c r="P17" s="53"/>
      <c r="Q17" s="53"/>
      <c r="R17" s="55"/>
    </row>
    <row r="18" spans="1:18" ht="19.899999999999999" customHeight="1">
      <c r="A18" s="55"/>
      <c r="B18" s="72"/>
      <c r="C18" s="15" t="s">
        <v>48</v>
      </c>
      <c r="D18" s="16">
        <v>0.16</v>
      </c>
      <c r="E18" s="65"/>
      <c r="F18" s="65"/>
      <c r="G18" s="65"/>
      <c r="H18" s="65"/>
      <c r="I18" s="66"/>
      <c r="J18" s="65"/>
      <c r="K18" s="65"/>
      <c r="L18" s="65"/>
      <c r="M18" s="53"/>
      <c r="N18" s="53"/>
      <c r="O18" s="53"/>
      <c r="P18" s="53"/>
      <c r="Q18" s="53"/>
      <c r="R18" s="55"/>
    </row>
    <row r="19" spans="1:18" ht="19.899999999999999" customHeight="1">
      <c r="A19" s="55"/>
      <c r="B19" s="72"/>
      <c r="C19" s="15" t="s">
        <v>49</v>
      </c>
      <c r="D19" s="16">
        <v>1.42</v>
      </c>
      <c r="E19" s="65"/>
      <c r="F19" s="65"/>
      <c r="G19" s="65"/>
      <c r="H19" s="65"/>
      <c r="I19" s="66"/>
      <c r="J19" s="65"/>
      <c r="K19" s="65"/>
      <c r="L19" s="65"/>
      <c r="M19" s="53"/>
      <c r="N19" s="53"/>
      <c r="O19" s="53"/>
      <c r="P19" s="53"/>
      <c r="Q19" s="53"/>
      <c r="R19" s="55"/>
    </row>
    <row r="20" spans="1:18" ht="19.899999999999999" customHeight="1">
      <c r="A20" s="55"/>
      <c r="B20" s="72"/>
      <c r="C20" s="15" t="s">
        <v>50</v>
      </c>
      <c r="D20" s="16">
        <f>SUM(D15:D19)</f>
        <v>14.14</v>
      </c>
      <c r="E20" s="65"/>
      <c r="F20" s="65"/>
      <c r="G20" s="65"/>
      <c r="H20" s="65"/>
      <c r="I20" s="66"/>
      <c r="J20" s="65"/>
      <c r="K20" s="65"/>
      <c r="L20" s="65"/>
      <c r="M20" s="53"/>
      <c r="N20" s="53"/>
      <c r="O20" s="53"/>
      <c r="P20" s="53"/>
      <c r="Q20" s="53"/>
      <c r="R20" s="55"/>
    </row>
    <row r="21" spans="1:18" ht="19.899999999999999" customHeight="1">
      <c r="A21" s="55"/>
      <c r="B21" s="72"/>
      <c r="C21" s="15" t="s">
        <v>51</v>
      </c>
      <c r="D21" s="16">
        <f>0.15*D20</f>
        <v>2.121</v>
      </c>
      <c r="E21" s="65"/>
      <c r="F21" s="65"/>
      <c r="G21" s="65"/>
      <c r="H21" s="65"/>
      <c r="I21" s="66"/>
      <c r="J21" s="65"/>
      <c r="K21" s="65"/>
      <c r="L21" s="65"/>
      <c r="M21" s="53"/>
      <c r="N21" s="53"/>
      <c r="O21" s="53"/>
      <c r="P21" s="53"/>
      <c r="Q21" s="53"/>
      <c r="R21" s="55"/>
    </row>
    <row r="22" spans="1:18" ht="19.899999999999999" customHeight="1">
      <c r="A22" s="55"/>
      <c r="B22" s="72"/>
      <c r="C22" s="17" t="s">
        <v>40</v>
      </c>
      <c r="D22" s="18">
        <f>SUM(D20:D21)</f>
        <v>16.260999999999999</v>
      </c>
      <c r="E22" s="65"/>
      <c r="F22" s="65"/>
      <c r="G22" s="65"/>
      <c r="H22" s="65"/>
      <c r="I22" s="66"/>
      <c r="J22" s="65"/>
      <c r="K22" s="65"/>
      <c r="L22" s="65"/>
      <c r="M22" s="53"/>
      <c r="N22" s="53"/>
      <c r="O22" s="53"/>
      <c r="P22" s="53"/>
      <c r="Q22" s="53"/>
      <c r="R22" s="55"/>
    </row>
    <row r="23" spans="1:18" ht="19.899999999999999" customHeight="1">
      <c r="A23" s="55"/>
      <c r="B23" s="56" t="s">
        <v>25</v>
      </c>
      <c r="C23" s="19" t="s">
        <v>52</v>
      </c>
      <c r="D23" s="20">
        <v>10.71</v>
      </c>
      <c r="E23" s="65"/>
      <c r="F23" s="65"/>
      <c r="G23" s="65"/>
      <c r="H23" s="65"/>
      <c r="I23" s="66"/>
      <c r="J23" s="65"/>
      <c r="K23" s="65"/>
      <c r="L23" s="65"/>
      <c r="M23" s="53"/>
      <c r="N23" s="53"/>
      <c r="O23" s="53"/>
      <c r="P23" s="53"/>
      <c r="Q23" s="53"/>
      <c r="R23" s="55"/>
    </row>
    <row r="24" spans="1:18" ht="19.899999999999999" customHeight="1">
      <c r="A24" s="55"/>
      <c r="B24" s="57"/>
      <c r="C24" s="19" t="s">
        <v>46</v>
      </c>
      <c r="D24" s="20">
        <v>1.63</v>
      </c>
      <c r="E24" s="65"/>
      <c r="F24" s="65"/>
      <c r="G24" s="65"/>
      <c r="H24" s="65"/>
      <c r="I24" s="66"/>
      <c r="J24" s="65"/>
      <c r="K24" s="65"/>
      <c r="L24" s="65"/>
      <c r="M24" s="53"/>
      <c r="N24" s="53"/>
      <c r="O24" s="53"/>
      <c r="P24" s="53"/>
      <c r="Q24" s="53"/>
      <c r="R24" s="55"/>
    </row>
    <row r="25" spans="1:18" ht="19.899999999999999" customHeight="1">
      <c r="A25" s="55"/>
      <c r="B25" s="57"/>
      <c r="C25" s="19" t="s">
        <v>47</v>
      </c>
      <c r="D25" s="20">
        <v>0.22</v>
      </c>
      <c r="E25" s="65"/>
      <c r="F25" s="65"/>
      <c r="G25" s="65"/>
      <c r="H25" s="65"/>
      <c r="I25" s="66"/>
      <c r="J25" s="65"/>
      <c r="K25" s="65"/>
      <c r="L25" s="65"/>
      <c r="M25" s="53"/>
      <c r="N25" s="53"/>
      <c r="O25" s="53"/>
      <c r="P25" s="53"/>
      <c r="Q25" s="53"/>
      <c r="R25" s="55"/>
    </row>
    <row r="26" spans="1:18" ht="19.899999999999999" customHeight="1">
      <c r="A26" s="55"/>
      <c r="B26" s="57"/>
      <c r="C26" s="19" t="s">
        <v>53</v>
      </c>
      <c r="D26" s="20">
        <v>2.15</v>
      </c>
      <c r="E26" s="65"/>
      <c r="F26" s="65"/>
      <c r="G26" s="65"/>
      <c r="H26" s="65"/>
      <c r="I26" s="66"/>
      <c r="J26" s="65"/>
      <c r="K26" s="65"/>
      <c r="L26" s="65"/>
      <c r="M26" s="53"/>
      <c r="N26" s="53"/>
      <c r="O26" s="53"/>
      <c r="P26" s="53"/>
      <c r="Q26" s="53"/>
      <c r="R26" s="55"/>
    </row>
    <row r="27" spans="1:18" ht="19.899999999999999" customHeight="1">
      <c r="A27" s="55"/>
      <c r="B27" s="57"/>
      <c r="C27" s="19" t="s">
        <v>54</v>
      </c>
      <c r="D27" s="20">
        <v>6.35</v>
      </c>
      <c r="E27" s="65"/>
      <c r="F27" s="65"/>
      <c r="G27" s="65"/>
      <c r="H27" s="65"/>
      <c r="I27" s="66"/>
      <c r="J27" s="65"/>
      <c r="K27" s="65"/>
      <c r="L27" s="65"/>
      <c r="M27" s="53"/>
      <c r="N27" s="53"/>
      <c r="O27" s="53"/>
      <c r="P27" s="53"/>
      <c r="Q27" s="53"/>
      <c r="R27" s="55"/>
    </row>
    <row r="28" spans="1:18" ht="19.899999999999999" customHeight="1">
      <c r="A28" s="55"/>
      <c r="B28" s="57"/>
      <c r="C28" s="19" t="s">
        <v>48</v>
      </c>
      <c r="D28" s="20">
        <v>0.16</v>
      </c>
      <c r="E28" s="65"/>
      <c r="F28" s="65"/>
      <c r="G28" s="65"/>
      <c r="H28" s="65"/>
      <c r="I28" s="66"/>
      <c r="J28" s="65"/>
      <c r="K28" s="65"/>
      <c r="L28" s="65"/>
      <c r="M28" s="53"/>
      <c r="N28" s="53"/>
      <c r="O28" s="53"/>
      <c r="P28" s="53"/>
      <c r="Q28" s="53"/>
      <c r="R28" s="55"/>
    </row>
    <row r="29" spans="1:18" ht="19.899999999999999" customHeight="1">
      <c r="A29" s="55"/>
      <c r="B29" s="57"/>
      <c r="C29" s="19" t="s">
        <v>49</v>
      </c>
      <c r="D29" s="20">
        <v>3.4</v>
      </c>
      <c r="E29" s="65"/>
      <c r="F29" s="65"/>
      <c r="G29" s="65"/>
      <c r="H29" s="65"/>
      <c r="I29" s="66"/>
      <c r="J29" s="65"/>
      <c r="K29" s="65"/>
      <c r="L29" s="65"/>
      <c r="M29" s="53"/>
      <c r="N29" s="53"/>
      <c r="O29" s="53"/>
      <c r="P29" s="53"/>
      <c r="Q29" s="53"/>
      <c r="R29" s="55"/>
    </row>
    <row r="30" spans="1:18" ht="19.899999999999999" customHeight="1">
      <c r="A30" s="55"/>
      <c r="B30" s="57"/>
      <c r="C30" s="19" t="s">
        <v>50</v>
      </c>
      <c r="D30" s="20">
        <f>SUM(D23:D29)</f>
        <v>24.62</v>
      </c>
      <c r="E30" s="65"/>
      <c r="F30" s="65"/>
      <c r="G30" s="65"/>
      <c r="H30" s="65"/>
      <c r="I30" s="66"/>
      <c r="J30" s="65"/>
      <c r="K30" s="65"/>
      <c r="L30" s="65"/>
      <c r="M30" s="53"/>
      <c r="N30" s="53"/>
      <c r="O30" s="53"/>
      <c r="P30" s="53"/>
      <c r="Q30" s="53"/>
      <c r="R30" s="55"/>
    </row>
    <row r="31" spans="1:18" ht="19.899999999999999" customHeight="1">
      <c r="A31" s="55"/>
      <c r="B31" s="57"/>
      <c r="C31" s="19" t="s">
        <v>51</v>
      </c>
      <c r="D31" s="21">
        <f>0.15*D30</f>
        <v>3.6930000000000001</v>
      </c>
      <c r="E31" s="65"/>
      <c r="F31" s="65"/>
      <c r="G31" s="65"/>
      <c r="H31" s="65"/>
      <c r="I31" s="66"/>
      <c r="J31" s="65"/>
      <c r="K31" s="65"/>
      <c r="L31" s="65"/>
      <c r="M31" s="53"/>
      <c r="N31" s="53"/>
      <c r="O31" s="53"/>
      <c r="P31" s="53"/>
      <c r="Q31" s="53"/>
      <c r="R31" s="55"/>
    </row>
    <row r="32" spans="1:18" ht="19.899999999999999" customHeight="1">
      <c r="A32" s="55"/>
      <c r="B32" s="58"/>
      <c r="C32" s="19" t="s">
        <v>40</v>
      </c>
      <c r="D32" s="21">
        <f>SUM(D30:D31)</f>
        <v>28.313000000000002</v>
      </c>
      <c r="E32" s="65"/>
      <c r="F32" s="65"/>
      <c r="G32" s="65"/>
      <c r="H32" s="65"/>
      <c r="I32" s="66"/>
      <c r="J32" s="65"/>
      <c r="K32" s="65"/>
      <c r="L32" s="65"/>
      <c r="M32" s="53"/>
      <c r="N32" s="53"/>
      <c r="O32" s="53"/>
      <c r="P32" s="53"/>
      <c r="Q32" s="53"/>
      <c r="R32" s="55"/>
    </row>
    <row r="33" spans="1:18" ht="19.899999999999999" customHeight="1">
      <c r="A33" s="55"/>
      <c r="B33" s="59" t="s">
        <v>25</v>
      </c>
      <c r="C33" s="22" t="s">
        <v>52</v>
      </c>
      <c r="D33" s="23">
        <v>10.71</v>
      </c>
      <c r="E33" s="65"/>
      <c r="F33" s="65"/>
      <c r="G33" s="65"/>
      <c r="H33" s="65"/>
      <c r="I33" s="66"/>
      <c r="J33" s="65"/>
      <c r="K33" s="65"/>
      <c r="L33" s="65"/>
      <c r="M33" s="53"/>
      <c r="N33" s="53"/>
      <c r="O33" s="53"/>
      <c r="P33" s="53"/>
      <c r="Q33" s="53"/>
      <c r="R33" s="55"/>
    </row>
    <row r="34" spans="1:18" ht="19.899999999999999" customHeight="1">
      <c r="A34" s="55"/>
      <c r="B34" s="60"/>
      <c r="C34" s="22" t="s">
        <v>46</v>
      </c>
      <c r="D34" s="23">
        <v>1.63</v>
      </c>
      <c r="E34" s="65"/>
      <c r="F34" s="65"/>
      <c r="G34" s="65"/>
      <c r="H34" s="65"/>
      <c r="I34" s="66"/>
      <c r="J34" s="65"/>
      <c r="K34" s="65"/>
      <c r="L34" s="65"/>
      <c r="M34" s="53"/>
      <c r="N34" s="53"/>
      <c r="O34" s="53"/>
      <c r="P34" s="53"/>
      <c r="Q34" s="53"/>
      <c r="R34" s="55"/>
    </row>
    <row r="35" spans="1:18" ht="19.899999999999999" customHeight="1">
      <c r="A35" s="55"/>
      <c r="B35" s="60"/>
      <c r="C35" s="22" t="s">
        <v>55</v>
      </c>
      <c r="D35" s="23">
        <v>0.65</v>
      </c>
      <c r="E35" s="65"/>
      <c r="F35" s="65"/>
      <c r="G35" s="65"/>
      <c r="H35" s="65"/>
      <c r="I35" s="66"/>
      <c r="J35" s="65"/>
      <c r="K35" s="65"/>
      <c r="L35" s="65"/>
      <c r="M35" s="53"/>
      <c r="N35" s="53"/>
      <c r="O35" s="53"/>
      <c r="P35" s="53"/>
      <c r="Q35" s="53"/>
      <c r="R35" s="55"/>
    </row>
    <row r="36" spans="1:18" ht="19.899999999999999" customHeight="1">
      <c r="A36" s="55"/>
      <c r="B36" s="60"/>
      <c r="C36" s="22" t="s">
        <v>48</v>
      </c>
      <c r="D36" s="23">
        <v>0.16</v>
      </c>
      <c r="E36" s="65"/>
      <c r="F36" s="65"/>
      <c r="G36" s="65"/>
      <c r="H36" s="65"/>
      <c r="I36" s="66"/>
      <c r="J36" s="65"/>
      <c r="K36" s="65"/>
      <c r="L36" s="65"/>
      <c r="M36" s="53"/>
      <c r="N36" s="53"/>
      <c r="O36" s="53"/>
      <c r="P36" s="53"/>
      <c r="Q36" s="53"/>
      <c r="R36" s="55"/>
    </row>
    <row r="37" spans="1:18" ht="19.899999999999999" customHeight="1">
      <c r="A37" s="55"/>
      <c r="B37" s="60"/>
      <c r="C37" s="22" t="s">
        <v>49</v>
      </c>
      <c r="D37" s="23">
        <v>1.42</v>
      </c>
      <c r="E37" s="65"/>
      <c r="F37" s="65"/>
      <c r="G37" s="65"/>
      <c r="H37" s="65"/>
      <c r="I37" s="66"/>
      <c r="J37" s="65"/>
      <c r="K37" s="65"/>
      <c r="L37" s="65"/>
      <c r="M37" s="53"/>
      <c r="N37" s="53"/>
      <c r="O37" s="53"/>
      <c r="P37" s="53"/>
      <c r="Q37" s="53"/>
      <c r="R37" s="55"/>
    </row>
    <row r="38" spans="1:18" ht="19.899999999999999" customHeight="1">
      <c r="A38" s="55"/>
      <c r="B38" s="60"/>
      <c r="C38" s="22" t="s">
        <v>50</v>
      </c>
      <c r="D38" s="23">
        <f>SUM(D33:D37)</f>
        <v>14.57</v>
      </c>
      <c r="E38" s="65"/>
      <c r="F38" s="65"/>
      <c r="G38" s="65"/>
      <c r="H38" s="65"/>
      <c r="I38" s="66"/>
      <c r="J38" s="65"/>
      <c r="K38" s="65"/>
      <c r="L38" s="65"/>
      <c r="M38" s="53"/>
      <c r="N38" s="53"/>
      <c r="O38" s="53"/>
      <c r="P38" s="53"/>
      <c r="Q38" s="53"/>
      <c r="R38" s="55"/>
    </row>
    <row r="39" spans="1:18" ht="19.899999999999999" customHeight="1">
      <c r="A39" s="55"/>
      <c r="B39" s="60"/>
      <c r="C39" s="22" t="s">
        <v>51</v>
      </c>
      <c r="D39" s="24">
        <f>0.15*D38</f>
        <v>2.1854999999999998</v>
      </c>
      <c r="E39" s="65"/>
      <c r="F39" s="65"/>
      <c r="G39" s="65"/>
      <c r="H39" s="65"/>
      <c r="I39" s="66"/>
      <c r="J39" s="65"/>
      <c r="K39" s="65"/>
      <c r="L39" s="65"/>
      <c r="M39" s="53"/>
      <c r="N39" s="53"/>
      <c r="O39" s="53"/>
      <c r="P39" s="53"/>
      <c r="Q39" s="53"/>
      <c r="R39" s="55"/>
    </row>
    <row r="40" spans="1:18" ht="19.899999999999999" customHeight="1">
      <c r="A40" s="55"/>
      <c r="B40" s="61"/>
      <c r="C40" s="22" t="s">
        <v>40</v>
      </c>
      <c r="D40" s="24">
        <f>SUM(D38:D39)</f>
        <v>16.755500000000001</v>
      </c>
      <c r="E40" s="65"/>
      <c r="F40" s="65"/>
      <c r="G40" s="65"/>
      <c r="H40" s="65"/>
      <c r="I40" s="66"/>
      <c r="J40" s="65"/>
      <c r="K40" s="65"/>
      <c r="L40" s="65"/>
      <c r="M40" s="53"/>
      <c r="N40" s="53"/>
      <c r="O40" s="53"/>
      <c r="P40" s="53"/>
      <c r="Q40" s="53"/>
      <c r="R40" s="55"/>
    </row>
    <row r="41" spans="1:18" ht="14.45" customHeight="1">
      <c r="A41" s="55"/>
      <c r="B41" s="55"/>
      <c r="C41" s="55"/>
      <c r="D41" s="55"/>
      <c r="E41" s="65"/>
      <c r="F41" s="65"/>
      <c r="G41" s="65"/>
      <c r="H41" s="65"/>
      <c r="I41" s="66"/>
      <c r="J41" s="65"/>
      <c r="K41" s="65"/>
      <c r="L41" s="65"/>
      <c r="M41" s="53"/>
      <c r="N41" s="53"/>
      <c r="O41" s="53"/>
      <c r="P41" s="53"/>
      <c r="Q41" s="53"/>
      <c r="R41" s="55"/>
    </row>
    <row r="42" spans="1:18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</row>
    <row r="43" spans="1:18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</row>
    <row r="44" spans="1:18">
      <c r="R44" s="55"/>
    </row>
  </sheetData>
  <mergeCells count="25">
    <mergeCell ref="A1:Q1"/>
    <mergeCell ref="A2:M2"/>
    <mergeCell ref="A3:M3"/>
    <mergeCell ref="A4:Q4"/>
    <mergeCell ref="F9:H10"/>
    <mergeCell ref="E5:E41"/>
    <mergeCell ref="B13:D13"/>
    <mergeCell ref="F11:H11"/>
    <mergeCell ref="B5:D5"/>
    <mergeCell ref="R1:R44"/>
    <mergeCell ref="B23:B32"/>
    <mergeCell ref="B33:B40"/>
    <mergeCell ref="C8:D8"/>
    <mergeCell ref="C10:D10"/>
    <mergeCell ref="A41:D41"/>
    <mergeCell ref="A5:A40"/>
    <mergeCell ref="A42:Q43"/>
    <mergeCell ref="F16:H41"/>
    <mergeCell ref="I5:I41"/>
    <mergeCell ref="M10:Q10"/>
    <mergeCell ref="J16:L41"/>
    <mergeCell ref="J5:Q5"/>
    <mergeCell ref="J11:L11"/>
    <mergeCell ref="B15:B22"/>
    <mergeCell ref="F5:H5"/>
  </mergeCells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F34C-14E9-4978-A2BE-B080D3FCCF7C}">
  <dimension ref="A1"/>
  <sheetViews>
    <sheetView topLeftCell="D1" zoomScale="130" zoomScaleNormal="130" workbookViewId="0">
      <selection activeCell="T17" sqref="T17"/>
    </sheetView>
  </sheetViews>
  <sheetFormatPr defaultRowHeight="14.4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23A5-3686-4674-ADA6-19FE20185602}">
  <dimension ref="B2:L17"/>
  <sheetViews>
    <sheetView zoomScale="70" zoomScaleNormal="70" workbookViewId="0">
      <selection activeCell="B51" sqref="B51"/>
    </sheetView>
  </sheetViews>
  <sheetFormatPr defaultRowHeight="14.45"/>
  <cols>
    <col min="2" max="2" width="51.7109375" bestFit="1" customWidth="1"/>
    <col min="3" max="3" width="32" bestFit="1" customWidth="1"/>
    <col min="4" max="4" width="32.7109375" bestFit="1" customWidth="1"/>
    <col min="5" max="5" width="40.5703125" bestFit="1" customWidth="1"/>
    <col min="6" max="6" width="26.5703125" bestFit="1" customWidth="1"/>
    <col min="7" max="7" width="36.85546875" bestFit="1" customWidth="1"/>
    <col min="8" max="8" width="37.7109375" bestFit="1" customWidth="1"/>
    <col min="9" max="9" width="36.85546875" bestFit="1" customWidth="1"/>
    <col min="10" max="10" width="21.7109375" bestFit="1" customWidth="1"/>
    <col min="11" max="11" width="21.28515625" bestFit="1" customWidth="1"/>
    <col min="12" max="12" width="25.28515625" bestFit="1" customWidth="1"/>
  </cols>
  <sheetData>
    <row r="2" spans="2:12" ht="18">
      <c r="B2" s="70" t="s">
        <v>56</v>
      </c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2:12" ht="18">
      <c r="B3" s="3" t="s">
        <v>13</v>
      </c>
      <c r="C3" s="3" t="s">
        <v>57</v>
      </c>
      <c r="D3" s="3" t="s">
        <v>58</v>
      </c>
      <c r="E3" s="3" t="s">
        <v>59</v>
      </c>
      <c r="F3" s="3" t="s">
        <v>16</v>
      </c>
      <c r="G3" s="3" t="s">
        <v>60</v>
      </c>
      <c r="H3" s="3" t="s">
        <v>61</v>
      </c>
      <c r="I3" s="3" t="s">
        <v>62</v>
      </c>
      <c r="J3" s="3" t="s">
        <v>63</v>
      </c>
      <c r="K3" s="3" t="s">
        <v>64</v>
      </c>
      <c r="L3" s="3" t="s">
        <v>65</v>
      </c>
    </row>
    <row r="4" spans="2:12" ht="18">
      <c r="B4" s="6" t="s">
        <v>21</v>
      </c>
      <c r="C4" s="6">
        <f>'Dados Norteadores'!C7</f>
        <v>2313</v>
      </c>
      <c r="D4" s="36">
        <f>'Dados Norteadores'!L7</f>
        <v>42</v>
      </c>
      <c r="E4" s="36" cm="1">
        <f t="array" ref="E4:E5">'Dados Norteadores'!K7:K8</f>
        <v>16.25</v>
      </c>
      <c r="F4" s="36" cm="1">
        <f t="array" ref="F4:F5">'Dados Norteadores'!M7:M8</f>
        <v>25.75</v>
      </c>
      <c r="G4" s="87">
        <f>'Dados Norteadores'!K14</f>
        <v>1200000</v>
      </c>
      <c r="H4" s="37" cm="1">
        <f t="array" ref="H4:H5">'Dados Norteadores'!G13:G14</f>
        <v>4.9998000000000005</v>
      </c>
      <c r="I4" s="36">
        <f>E4*C4</f>
        <v>37586.25</v>
      </c>
      <c r="J4" s="36" cm="1">
        <f t="array" ref="J4:J5">'Dados Norteadores'!Q7:Q8</f>
        <v>-32555.910000000003</v>
      </c>
      <c r="K4" s="81">
        <f>((SUM(_xlfn.ANCHORARRAY(H4)))*(SUM(C4:C5)))</f>
        <v>54722.356200000002</v>
      </c>
      <c r="L4" s="82">
        <f>'Dados Norteadores'!K13*12</f>
        <v>62930.709629999998</v>
      </c>
    </row>
    <row r="5" spans="2:12" ht="18">
      <c r="B5" s="6" t="s">
        <v>25</v>
      </c>
      <c r="C5" s="6">
        <f>'Dados Norteadores'!C9</f>
        <v>906</v>
      </c>
      <c r="D5" s="36">
        <f>'Dados Norteadores'!L8</f>
        <v>85</v>
      </c>
      <c r="E5" s="36">
        <v>28.31</v>
      </c>
      <c r="F5" s="36">
        <v>56.69</v>
      </c>
      <c r="G5" s="87"/>
      <c r="H5" s="37">
        <v>12</v>
      </c>
      <c r="I5" s="36">
        <f>E5*C5</f>
        <v>25648.86</v>
      </c>
      <c r="J5" s="36">
        <v>-40754.520000000004</v>
      </c>
      <c r="K5" s="81"/>
      <c r="L5" s="82"/>
    </row>
    <row r="8" spans="2:12" ht="18">
      <c r="B8" s="38" t="s">
        <v>66</v>
      </c>
      <c r="C8" s="83" t="s">
        <v>67</v>
      </c>
      <c r="D8" s="84"/>
      <c r="E8" s="38" t="s">
        <v>68</v>
      </c>
    </row>
    <row r="9" spans="2:12" ht="18">
      <c r="B9" s="47" t="s">
        <v>69</v>
      </c>
      <c r="C9" s="6" t="s">
        <v>21</v>
      </c>
      <c r="D9" s="6" t="s">
        <v>25</v>
      </c>
      <c r="E9" s="85">
        <f>B10</f>
        <v>110920.89</v>
      </c>
      <c r="G9" s="3" t="s">
        <v>30</v>
      </c>
      <c r="H9" s="3" t="s">
        <v>70</v>
      </c>
    </row>
    <row r="10" spans="2:12" ht="18">
      <c r="B10" s="48">
        <f>SUM(C10:D10)</f>
        <v>110920.89</v>
      </c>
      <c r="C10" s="52">
        <v>59559.75</v>
      </c>
      <c r="D10" s="51">
        <v>51361.14</v>
      </c>
      <c r="E10" s="86"/>
      <c r="G10" s="35">
        <f>SUM(_xlfn.ANCHORARRAY(J4))</f>
        <v>-73310.430000000008</v>
      </c>
      <c r="H10" s="54">
        <f>E9</f>
        <v>110920.89</v>
      </c>
    </row>
    <row r="11" spans="2:12" ht="18">
      <c r="B11" s="49" t="s">
        <v>71</v>
      </c>
    </row>
    <row r="12" spans="2:12" ht="18">
      <c r="B12" s="50">
        <f>(0.1941667*C10)+(0.21167*D10)</f>
        <v>22436.132614124999</v>
      </c>
    </row>
    <row r="13" spans="2:12" ht="18">
      <c r="B13" s="49" t="s">
        <v>72</v>
      </c>
    </row>
    <row r="14" spans="2:12" ht="18">
      <c r="B14" s="48">
        <f>(0.631068*C10)+(0.49947*D10)</f>
        <v>63239.600908799999</v>
      </c>
    </row>
    <row r="15" spans="2:12" ht="18">
      <c r="B15" s="49" t="s">
        <v>73</v>
      </c>
    </row>
    <row r="16" spans="2:12" ht="18">
      <c r="B16" s="48">
        <f>(C4*F4)</f>
        <v>59559.75</v>
      </c>
    </row>
    <row r="17" spans="2:2" ht="18">
      <c r="B17" s="48">
        <f>C5*F5</f>
        <v>51361.14</v>
      </c>
    </row>
  </sheetData>
  <mergeCells count="6">
    <mergeCell ref="B2:L2"/>
    <mergeCell ref="K4:K5"/>
    <mergeCell ref="L4:L5"/>
    <mergeCell ref="C8:D8"/>
    <mergeCell ref="E9:E10"/>
    <mergeCell ref="G4:G5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7E90-EB4E-4A5C-9DD8-0509DE592B49}">
  <dimension ref="A1:H16"/>
  <sheetViews>
    <sheetView showGridLines="0" tabSelected="1" workbookViewId="0"/>
  </sheetViews>
  <sheetFormatPr defaultRowHeight="14.45"/>
  <cols>
    <col min="1" max="1" width="2.28515625" customWidth="1"/>
    <col min="2" max="2" width="6.28515625" bestFit="1" customWidth="1"/>
    <col min="3" max="3" width="24.85546875" bestFit="1" customWidth="1"/>
    <col min="4" max="4" width="11.5703125" bestFit="1" customWidth="1"/>
    <col min="5" max="5" width="8.7109375" bestFit="1" customWidth="1"/>
    <col min="6" max="6" width="12" bestFit="1" customWidth="1"/>
    <col min="7" max="7" width="9.28515625" bestFit="1" customWidth="1"/>
    <col min="8" max="8" width="12" bestFit="1" customWidth="1"/>
  </cols>
  <sheetData>
    <row r="1" spans="1:8">
      <c r="A1" s="40" t="s">
        <v>74</v>
      </c>
    </row>
    <row r="2" spans="1:8">
      <c r="A2" s="40" t="s">
        <v>75</v>
      </c>
    </row>
    <row r="3" spans="1:8">
      <c r="A3" s="40" t="s">
        <v>76</v>
      </c>
    </row>
    <row r="6" spans="1:8" ht="15" thickBot="1">
      <c r="A6" t="s">
        <v>77</v>
      </c>
    </row>
    <row r="7" spans="1:8">
      <c r="B7" s="43"/>
      <c r="C7" s="43"/>
      <c r="D7" s="43" t="s">
        <v>78</v>
      </c>
      <c r="E7" s="43" t="s">
        <v>79</v>
      </c>
      <c r="F7" s="43" t="s">
        <v>80</v>
      </c>
      <c r="G7" s="43" t="s">
        <v>81</v>
      </c>
      <c r="H7" s="43" t="s">
        <v>81</v>
      </c>
    </row>
    <row r="8" spans="1:8" ht="15" thickBot="1">
      <c r="B8" s="44" t="s">
        <v>82</v>
      </c>
      <c r="C8" s="44" t="s">
        <v>83</v>
      </c>
      <c r="D8" s="44" t="s">
        <v>84</v>
      </c>
      <c r="E8" s="44" t="s">
        <v>85</v>
      </c>
      <c r="F8" s="44" t="s">
        <v>86</v>
      </c>
      <c r="G8" s="44" t="s">
        <v>87</v>
      </c>
      <c r="H8" s="44" t="s">
        <v>88</v>
      </c>
    </row>
    <row r="9" spans="1:8">
      <c r="B9" s="41" t="s">
        <v>89</v>
      </c>
      <c r="C9" s="41" t="s">
        <v>21</v>
      </c>
      <c r="D9" s="41">
        <v>59559.75</v>
      </c>
      <c r="E9" s="41">
        <v>1</v>
      </c>
      <c r="F9" s="41">
        <v>1</v>
      </c>
      <c r="G9" s="41">
        <v>1E+30</v>
      </c>
      <c r="H9" s="41">
        <v>1</v>
      </c>
    </row>
    <row r="10" spans="1:8" ht="15" thickBot="1">
      <c r="B10" s="42" t="s">
        <v>90</v>
      </c>
      <c r="C10" s="42" t="s">
        <v>25</v>
      </c>
      <c r="D10" s="42">
        <v>51361.14</v>
      </c>
      <c r="E10" s="42">
        <v>1</v>
      </c>
      <c r="F10" s="42">
        <v>1</v>
      </c>
      <c r="G10" s="42">
        <v>1E+30</v>
      </c>
      <c r="H10" s="42">
        <v>1</v>
      </c>
    </row>
    <row r="12" spans="1:8" ht="15" thickBot="1">
      <c r="A12" t="s">
        <v>91</v>
      </c>
    </row>
    <row r="13" spans="1:8">
      <c r="B13" s="43"/>
      <c r="C13" s="43"/>
      <c r="D13" s="43" t="s">
        <v>78</v>
      </c>
      <c r="E13" s="43" t="s">
        <v>92</v>
      </c>
      <c r="F13" s="43" t="s">
        <v>93</v>
      </c>
      <c r="G13" s="43" t="s">
        <v>81</v>
      </c>
      <c r="H13" s="43" t="s">
        <v>81</v>
      </c>
    </row>
    <row r="14" spans="1:8" ht="15" thickBot="1">
      <c r="B14" s="44" t="s">
        <v>82</v>
      </c>
      <c r="C14" s="44" t="s">
        <v>83</v>
      </c>
      <c r="D14" s="44" t="s">
        <v>84</v>
      </c>
      <c r="E14" s="44" t="s">
        <v>94</v>
      </c>
      <c r="F14" s="44" t="s">
        <v>95</v>
      </c>
      <c r="G14" s="44" t="s">
        <v>87</v>
      </c>
      <c r="H14" s="44" t="s">
        <v>88</v>
      </c>
    </row>
    <row r="15" spans="1:8">
      <c r="B15" s="41" t="s">
        <v>96</v>
      </c>
      <c r="C15" s="41" t="s">
        <v>97</v>
      </c>
      <c r="D15" s="45">
        <v>22436.13</v>
      </c>
      <c r="E15" s="41">
        <v>0</v>
      </c>
      <c r="F15" s="41">
        <v>62930.709629999998</v>
      </c>
      <c r="G15" s="41">
        <v>1E+30</v>
      </c>
      <c r="H15" s="41">
        <v>40494.577015874995</v>
      </c>
    </row>
    <row r="16" spans="1:8" ht="15" thickBot="1">
      <c r="B16" s="42" t="s">
        <v>98</v>
      </c>
      <c r="C16" s="42" t="s">
        <v>72</v>
      </c>
      <c r="D16" s="46">
        <v>63239.6</v>
      </c>
      <c r="E16" s="42">
        <v>0</v>
      </c>
      <c r="F16" s="42">
        <v>1200000</v>
      </c>
      <c r="G16" s="42">
        <v>1E+30</v>
      </c>
      <c r="H16" s="42">
        <v>1136760.3990912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d1b1a05-7443-4a92-b433-fde3aba9df9e" xsi:nil="true"/>
    <TaxCatchAll xmlns="859b4b8e-7b1d-49c1-8596-c2b95aab0e3c" xsi:nil="true"/>
    <lcf76f155ced4ddcb4097134ff3c332f xmlns="8d1b1a05-7443-4a92-b433-fde3aba9df9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F099BBCEBF2F478932EED29E348D78" ma:contentTypeVersion="12" ma:contentTypeDescription="Crie um novo documento." ma:contentTypeScope="" ma:versionID="77f8c6019c59c6379e30a9147b6a8698">
  <xsd:schema xmlns:xsd="http://www.w3.org/2001/XMLSchema" xmlns:xs="http://www.w3.org/2001/XMLSchema" xmlns:p="http://schemas.microsoft.com/office/2006/metadata/properties" xmlns:ns2="8d1b1a05-7443-4a92-b433-fde3aba9df9e" xmlns:ns3="859b4b8e-7b1d-49c1-8596-c2b95aab0e3c" targetNamespace="http://schemas.microsoft.com/office/2006/metadata/properties" ma:root="true" ma:fieldsID="227d1db347fdb9626323acd1ee8b5593" ns2:_="" ns3:_="">
    <xsd:import namespace="8d1b1a05-7443-4a92-b433-fde3aba9df9e"/>
    <xsd:import namespace="859b4b8e-7b1d-49c1-8596-c2b95aab0e3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1b1a05-7443-4a92-b433-fde3aba9df9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0ef6089c-5148-4909-88ac-65974e5b7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4b8e-7b1d-49c1-8596-c2b95aab0e3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ef4a169-ed8c-463f-a87e-2b1b0a9b2662}" ma:internalName="TaxCatchAll" ma:showField="CatchAllData" ma:web="859b4b8e-7b1d-49c1-8596-c2b95aab0e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E7012D-B77D-4F3B-9B66-0FE6EA02CED8}"/>
</file>

<file path=customXml/itemProps2.xml><?xml version="1.0" encoding="utf-8"?>
<ds:datastoreItem xmlns:ds="http://schemas.openxmlformats.org/officeDocument/2006/customXml" ds:itemID="{419C47C6-1C75-47A0-AAA1-82178F6CB100}"/>
</file>

<file path=customXml/itemProps3.xml><?xml version="1.0" encoding="utf-8"?>
<ds:datastoreItem xmlns:ds="http://schemas.openxmlformats.org/officeDocument/2006/customXml" ds:itemID="{C2038552-6C51-4BDC-A3B7-D7F2CC0DF3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LEONIDAS CALIEL DE CARVALHO</dc:creator>
  <cp:keywords/>
  <dc:description/>
  <cp:lastModifiedBy/>
  <cp:revision/>
  <dcterms:created xsi:type="dcterms:W3CDTF">2025-10-31T13:34:28Z</dcterms:created>
  <dcterms:modified xsi:type="dcterms:W3CDTF">2025-11-14T11:51:41Z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0x01010033F099BBCEBF2F478932EED29E348D78</vt:lpwstr>
  </property>
  <property fmtid="{D5CDD505-2E9C-101B-9397-08002B2CF9AE}" pid="3" name="Order">
    <vt:r8>17600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activity">
    <vt:lpwstr>{"FileActivityType":"9","FileActivityTimeStamp":"2025-11-03T15:50:22.343Z","FileActivityUsersOnPage":[{"DisplayName":"LEONIDAS CALIEL DE CARVALHO","Id":"leonidas.carvalho@fatec.sp.gov.br"},{"DisplayName":"THOMAS WILLIAM BISSOLI NATTIS","Id":"thomas.nattis@fatec.sp.gov.br"}],"FileActivityNavigationId":null}</vt:lpwstr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