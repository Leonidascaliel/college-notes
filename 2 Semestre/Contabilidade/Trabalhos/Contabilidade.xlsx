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fatecspgov-my.sharepoint.com/personal/leonidas_carvalho_fatec_sp_gov_br/Documents/"/>
    </mc:Choice>
  </mc:AlternateContent>
  <xr:revisionPtr revIDLastSave="447" documentId="8_{5923757D-197B-4F6B-ACC3-04465A47971D}" xr6:coauthVersionLast="47" xr6:coauthVersionMax="47" xr10:uidLastSave="{4D73E794-71AF-49DF-9FB0-591706C63772}"/>
  <bookViews>
    <workbookView xWindow="-108" yWindow="-108" windowWidth="23256" windowHeight="12456" xr2:uid="{E2872BA3-8750-4E58-BAAD-03BD5A3325A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J31" i="1"/>
  <c r="I31" i="1"/>
  <c r="K31" i="1" s="1"/>
  <c r="J30" i="1"/>
  <c r="I30" i="1"/>
  <c r="K30" i="1" s="1"/>
  <c r="K33" i="1"/>
  <c r="K32" i="1"/>
  <c r="F36" i="1"/>
  <c r="F33" i="1"/>
  <c r="F34" i="1"/>
  <c r="F35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2" i="1"/>
  <c r="E6" i="1"/>
  <c r="E5" i="1"/>
  <c r="F2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5" i="1"/>
  <c r="J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3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5" i="1"/>
</calcChain>
</file>

<file path=xl/sharedStrings.xml><?xml version="1.0" encoding="utf-8"?>
<sst xmlns="http://schemas.openxmlformats.org/spreadsheetml/2006/main" count="105" uniqueCount="92">
  <si>
    <t>Balanço Patrimonial</t>
  </si>
  <si>
    <t>DRE</t>
  </si>
  <si>
    <t>R$ Milhões</t>
  </si>
  <si>
    <t>Ativo</t>
  </si>
  <si>
    <t>Consolidado</t>
  </si>
  <si>
    <t>Vertical</t>
  </si>
  <si>
    <t>Horizontal</t>
  </si>
  <si>
    <t>Ativo Circulante</t>
  </si>
  <si>
    <t>Receita Líquida</t>
  </si>
  <si>
    <t>-</t>
  </si>
  <si>
    <t>Caixas e Equivalentes de Caixa</t>
  </si>
  <si>
    <t>Custo das Mercadorias Vendidas</t>
  </si>
  <si>
    <t>Aplicações financeiras</t>
  </si>
  <si>
    <t>Depreciação (Logística)</t>
  </si>
  <si>
    <t>Contas a Receber</t>
  </si>
  <si>
    <t>Lucro Bruto</t>
  </si>
  <si>
    <t>Cartões de Crédito</t>
  </si>
  <si>
    <t>Despesas com Vendas</t>
  </si>
  <si>
    <t>Tickets de vendas e duplicatas a receber</t>
  </si>
  <si>
    <t>Despesas Gerais e Administrativas</t>
  </si>
  <si>
    <t>Provisão para Devedores Duvidosos</t>
  </si>
  <si>
    <t>Desp. com Vendas, Gerais e Adm.</t>
  </si>
  <si>
    <t>Provenientes de Acordos Comerciais</t>
  </si>
  <si>
    <t>Resultado da Equiv. Patrimonial</t>
  </si>
  <si>
    <t>Estoques</t>
  </si>
  <si>
    <t>Outras Despesas e Receitas Operacionais</t>
  </si>
  <si>
    <t>Tributos a Recuperar</t>
  </si>
  <si>
    <t>Depreciação e Amortização</t>
  </si>
  <si>
    <t>Despesas Antecipadas e Outras Contas a Receber</t>
  </si>
  <si>
    <t>EBIT - Lucro operac. antes do result. financeiro e impostos</t>
  </si>
  <si>
    <t>Ativo Não Circulante</t>
  </si>
  <si>
    <t>Receitas Financeiras</t>
  </si>
  <si>
    <t>Realizável a Longo Prazo</t>
  </si>
  <si>
    <t>Despesas Financeiras</t>
  </si>
  <si>
    <t>Tributos a Recuperar (LP)</t>
  </si>
  <si>
    <t>Resultado Financeiro Líquido</t>
  </si>
  <si>
    <t>Imposto de Renda e Contribuição Social Diferidos</t>
  </si>
  <si>
    <t>Lucro (Prejuízo) Operacional Antes I.R.</t>
  </si>
  <si>
    <t>Partes Relacionadas</t>
  </si>
  <si>
    <t>Imposto de Renda</t>
  </si>
  <si>
    <t>Depósitos para Recursos Judiciais</t>
  </si>
  <si>
    <t>Lucro (Prejuízo) Líquido Companhia - operações em continuidade</t>
  </si>
  <si>
    <t>Despesas Antecipadas e Outros</t>
  </si>
  <si>
    <t>Lucro (Prejuízo) Líquido Companhia - operações descontinuadas</t>
  </si>
  <si>
    <t>Investimentos</t>
  </si>
  <si>
    <t>Lucro Líquido Companhia Consolidado</t>
  </si>
  <si>
    <t>Imobilizado</t>
  </si>
  <si>
    <t>EBITDA - Lucro oper. antes da deprec. resultado financeiro e impostos</t>
  </si>
  <si>
    <t>Intangível</t>
  </si>
  <si>
    <t>EBITDA Ajustado</t>
  </si>
  <si>
    <t>TOTAL DO ATIVO</t>
  </si>
  <si>
    <t>Passivo</t>
  </si>
  <si>
    <t>Calculado</t>
  </si>
  <si>
    <t>Índice de Liquidez Corrente</t>
  </si>
  <si>
    <t>Índice Liquidez Imediata</t>
  </si>
  <si>
    <t>Passivo Circulante</t>
  </si>
  <si>
    <t>Índice de Endividamento Geral</t>
  </si>
  <si>
    <t>Fornecedores</t>
  </si>
  <si>
    <t>Índice Margem Liquida</t>
  </si>
  <si>
    <t>Fornecedores - convênio</t>
  </si>
  <si>
    <t>Índice de Rentabilidade do Patrimônio Líquido</t>
  </si>
  <si>
    <t>Empréstimos e Financiamentos (CP)</t>
  </si>
  <si>
    <t>EBITDA</t>
  </si>
  <si>
    <t>Debêntures (CP)</t>
  </si>
  <si>
    <t>EBITDA - Receita Líquida</t>
  </si>
  <si>
    <t>Passivo de Arrendamento (CP)</t>
  </si>
  <si>
    <t>EBITDA - Dívida Líquida</t>
  </si>
  <si>
    <t>Salário e Encargos Sociais</t>
  </si>
  <si>
    <t>EBITDA - Patrimônio Líquido</t>
  </si>
  <si>
    <t>Impostos e Contribuições a Recolher</t>
  </si>
  <si>
    <t>Financiamento Compra de Imóveis</t>
  </si>
  <si>
    <t>Partes Relacionadas (CP)</t>
  </si>
  <si>
    <t>Propaganda</t>
  </si>
  <si>
    <t>Provisão para Reestruturação</t>
  </si>
  <si>
    <t>Receitas a apropriar (CP)</t>
  </si>
  <si>
    <t>Passivo Não Circulante</t>
  </si>
  <si>
    <t>Empréstimos e Financiamentos (LP)</t>
  </si>
  <si>
    <t>Debêntures (LP)</t>
  </si>
  <si>
    <t>Passivo de Arrendamento (LP)</t>
  </si>
  <si>
    <t>Imposto de renda e contribuição social a recolher</t>
  </si>
  <si>
    <t>Impostos Parcelados</t>
  </si>
  <si>
    <t>Provisão para Demandas Judiciais</t>
  </si>
  <si>
    <t>Receitas a apropriar (LP)</t>
  </si>
  <si>
    <t>Outros (LP)</t>
  </si>
  <si>
    <t>Patrimônio Líquido</t>
  </si>
  <si>
    <t>Atribuído aos Acionistas Controladores</t>
  </si>
  <si>
    <t>Capital Social</t>
  </si>
  <si>
    <t>Reservas de Capital</t>
  </si>
  <si>
    <t>Reservas de Lucro</t>
  </si>
  <si>
    <t>Outros resultados Abrangentes no Patrimônio</t>
  </si>
  <si>
    <t>Participação de Acionistas não Controladores</t>
  </si>
  <si>
    <t>TOTAL DO PASSIVO E PATRIMÔNIO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</si>
</sst>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/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6" borderId="0" xfId="0" applyNumberForma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/>
    <xf numFmtId="10" fontId="0" fillId="7" borderId="1" xfId="0" applyNumberFormat="1" applyFill="1" applyBorder="1" applyAlignment="1">
      <alignment horizontal="center"/>
    </xf>
    <xf numFmtId="0" fontId="0" fillId="2" borderId="1" xfId="0" applyFill="1" applyBorder="1"/>
    <xf numFmtId="0" fontId="1" fillId="8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vertical="center"/>
    </xf>
    <xf numFmtId="0" fontId="0" fillId="7" borderId="3" xfId="0" applyFill="1" applyBorder="1"/>
    <xf numFmtId="0" fontId="0" fillId="2" borderId="3" xfId="0" applyFill="1" applyBorder="1"/>
    <xf numFmtId="0" fontId="0" fillId="4" borderId="3" xfId="0" applyFill="1" applyBorder="1"/>
    <xf numFmtId="0" fontId="0" fillId="0" borderId="3" xfId="0" applyBorder="1"/>
    <xf numFmtId="0" fontId="3" fillId="7" borderId="3" xfId="0" applyFont="1" applyFill="1" applyBorder="1"/>
    <xf numFmtId="0" fontId="0" fillId="7" borderId="4" xfId="0" applyFill="1" applyBorder="1"/>
    <xf numFmtId="0" fontId="0" fillId="7" borderId="1" xfId="0" applyFill="1" applyBorder="1" applyAlignment="1">
      <alignment vertical="center"/>
    </xf>
    <xf numFmtId="2" fontId="0" fillId="7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1A1C-0938-498B-BF37-7C1D2CFCCFB0}">
  <dimension ref="A1:N65"/>
  <sheetViews>
    <sheetView tabSelected="1" zoomScale="85" zoomScaleNormal="85" workbookViewId="0">
      <selection activeCell="J32" sqref="J32"/>
    </sheetView>
  </sheetViews>
  <sheetFormatPr defaultRowHeight="14.4" x14ac:dyDescent="0.3"/>
  <cols>
    <col min="1" max="1" width="41.5546875" style="1" bestFit="1" customWidth="1"/>
    <col min="2" max="3" width="12.33203125" style="1" customWidth="1"/>
    <col min="4" max="4" width="14.109375" style="1" customWidth="1"/>
    <col min="5" max="5" width="10.5546875" style="1" customWidth="1"/>
    <col min="6" max="6" width="9.6640625" style="1" customWidth="1"/>
    <col min="7" max="7" width="12.6640625" customWidth="1"/>
    <col min="8" max="8" width="60.109375" bestFit="1" customWidth="1"/>
    <col min="9" max="9" width="10.109375" bestFit="1" customWidth="1"/>
    <col min="10" max="10" width="12.109375" bestFit="1" customWidth="1"/>
    <col min="11" max="11" width="9.88671875" bestFit="1" customWidth="1"/>
    <col min="12" max="13" width="12.109375" bestFit="1" customWidth="1"/>
  </cols>
  <sheetData>
    <row r="1" spans="1:14" x14ac:dyDescent="0.3">
      <c r="A1" s="21" t="s">
        <v>0</v>
      </c>
      <c r="B1" s="21"/>
      <c r="C1" s="21"/>
      <c r="D1" s="21"/>
      <c r="E1" s="21"/>
      <c r="F1" s="21"/>
      <c r="G1" s="5"/>
      <c r="H1" s="21" t="s">
        <v>1</v>
      </c>
      <c r="I1" s="21"/>
      <c r="J1" s="21"/>
      <c r="K1" s="21"/>
      <c r="L1" s="21"/>
      <c r="M1" s="21"/>
      <c r="N1" s="38"/>
    </row>
    <row r="2" spans="1:14" x14ac:dyDescent="0.3">
      <c r="A2" s="23" t="s">
        <v>2</v>
      </c>
      <c r="B2" s="22" t="s">
        <v>3</v>
      </c>
      <c r="C2" s="22"/>
      <c r="D2" s="22"/>
      <c r="E2" s="22"/>
      <c r="F2" s="22"/>
      <c r="G2" s="45"/>
      <c r="H2" s="23" t="s">
        <v>2</v>
      </c>
      <c r="I2" s="22" t="s">
        <v>4</v>
      </c>
      <c r="J2" s="22"/>
      <c r="K2" s="22"/>
      <c r="L2" s="22"/>
      <c r="M2" s="22"/>
      <c r="N2" s="32"/>
    </row>
    <row r="3" spans="1:14" x14ac:dyDescent="0.3">
      <c r="A3" s="23"/>
      <c r="B3" s="22" t="s">
        <v>4</v>
      </c>
      <c r="C3" s="22"/>
      <c r="D3" s="22"/>
      <c r="E3" s="22"/>
      <c r="F3" s="22"/>
      <c r="G3" s="45"/>
      <c r="H3" s="23"/>
      <c r="I3" s="22"/>
      <c r="J3" s="22"/>
      <c r="K3" s="22"/>
      <c r="L3" s="22"/>
      <c r="M3" s="22"/>
      <c r="N3" s="32"/>
    </row>
    <row r="4" spans="1:14" x14ac:dyDescent="0.3">
      <c r="A4" s="23"/>
      <c r="B4" s="2">
        <v>45657</v>
      </c>
      <c r="C4" s="7" t="s">
        <v>5</v>
      </c>
      <c r="D4" s="2">
        <v>45291</v>
      </c>
      <c r="E4" s="8" t="s">
        <v>5</v>
      </c>
      <c r="F4" s="10" t="s">
        <v>6</v>
      </c>
      <c r="G4" s="32"/>
      <c r="H4" s="23"/>
      <c r="I4" s="6">
        <v>2024</v>
      </c>
      <c r="J4" s="8" t="s">
        <v>5</v>
      </c>
      <c r="K4" s="6">
        <v>2023</v>
      </c>
      <c r="L4" s="8" t="s">
        <v>5</v>
      </c>
      <c r="M4" s="13" t="s">
        <v>6</v>
      </c>
      <c r="N4" s="32"/>
    </row>
    <row r="5" spans="1:14" x14ac:dyDescent="0.3">
      <c r="A5" s="11" t="s">
        <v>7</v>
      </c>
      <c r="B5" s="1">
        <v>6116</v>
      </c>
      <c r="C5" s="19">
        <f t="shared" ref="C5:C25" si="0">B5/$B$26</f>
        <v>0.31040958229711213</v>
      </c>
      <c r="D5" s="1">
        <v>7523</v>
      </c>
      <c r="E5" s="19">
        <f t="shared" ref="E5:E25" si="1">D5/$D$26</f>
        <v>0.3411636660468913</v>
      </c>
      <c r="F5" s="3">
        <f>B5/D5-1</f>
        <v>-0.18702645221321279</v>
      </c>
      <c r="G5" s="32"/>
      <c r="H5" t="s">
        <v>8</v>
      </c>
      <c r="I5" s="1">
        <v>18790</v>
      </c>
      <c r="J5" s="18" t="s">
        <v>9</v>
      </c>
      <c r="K5" s="1">
        <v>17793</v>
      </c>
      <c r="L5" s="3" t="s">
        <v>9</v>
      </c>
      <c r="M5" s="4">
        <f>I5/K5-1</f>
        <v>5.6033271511268579E-2</v>
      </c>
      <c r="N5" s="32"/>
    </row>
    <row r="6" spans="1:14" x14ac:dyDescent="0.3">
      <c r="A6" s="11" t="s">
        <v>10</v>
      </c>
      <c r="B6" s="1">
        <v>2631</v>
      </c>
      <c r="C6" s="19">
        <f t="shared" si="0"/>
        <v>0.13353296452316907</v>
      </c>
      <c r="D6" s="1">
        <v>2971</v>
      </c>
      <c r="E6" s="19">
        <f t="shared" si="1"/>
        <v>0.13473311867942497</v>
      </c>
      <c r="F6" s="3">
        <f t="shared" ref="F6:F25" si="2">B6/D6-1</f>
        <v>-0.1144395826321104</v>
      </c>
      <c r="G6" s="32"/>
      <c r="H6" t="s">
        <v>11</v>
      </c>
      <c r="I6" s="1">
        <v>13502</v>
      </c>
      <c r="J6" s="19">
        <f t="shared" ref="J6:J25" si="3">I6/$I$5</f>
        <v>0.71857370941990417</v>
      </c>
      <c r="K6" s="1">
        <v>12980</v>
      </c>
      <c r="L6" s="19">
        <f t="shared" ref="L6:L25" si="4">K6/$K$5</f>
        <v>0.72950036531220142</v>
      </c>
      <c r="M6" s="4">
        <f t="shared" ref="M6:M25" si="5">I6/K6-1</f>
        <v>4.021571648690303E-2</v>
      </c>
      <c r="N6" s="32"/>
    </row>
    <row r="7" spans="1:14" x14ac:dyDescent="0.3">
      <c r="A7" s="11" t="s">
        <v>12</v>
      </c>
      <c r="B7" s="1">
        <v>15</v>
      </c>
      <c r="C7" s="19">
        <f t="shared" si="0"/>
        <v>7.6130538496675638E-4</v>
      </c>
      <c r="D7" s="1">
        <v>777</v>
      </c>
      <c r="E7" s="19">
        <f t="shared" si="1"/>
        <v>3.5236497211010839E-2</v>
      </c>
      <c r="F7" s="3">
        <f t="shared" si="2"/>
        <v>-0.98069498069498073</v>
      </c>
      <c r="G7" s="32"/>
      <c r="H7" t="s">
        <v>13</v>
      </c>
      <c r="I7" s="1">
        <v>116</v>
      </c>
      <c r="J7" s="19">
        <f t="shared" si="3"/>
        <v>6.1734965407131449E-3</v>
      </c>
      <c r="K7" s="1">
        <v>116</v>
      </c>
      <c r="L7" s="19">
        <f t="shared" si="4"/>
        <v>6.5194177485528018E-3</v>
      </c>
      <c r="M7" s="4">
        <f t="shared" si="5"/>
        <v>0</v>
      </c>
      <c r="N7" s="32"/>
    </row>
    <row r="8" spans="1:14" x14ac:dyDescent="0.3">
      <c r="A8" s="11" t="s">
        <v>14</v>
      </c>
      <c r="B8" s="1">
        <v>408</v>
      </c>
      <c r="C8" s="19">
        <f t="shared" si="0"/>
        <v>2.0707506471095771E-2</v>
      </c>
      <c r="D8" s="1">
        <v>458</v>
      </c>
      <c r="E8" s="19">
        <f t="shared" si="1"/>
        <v>2.0770033105074599E-2</v>
      </c>
      <c r="F8" s="3">
        <f t="shared" si="2"/>
        <v>-0.10917030567685593</v>
      </c>
      <c r="G8" s="32"/>
      <c r="H8" t="s">
        <v>15</v>
      </c>
      <c r="I8" s="1">
        <v>5172</v>
      </c>
      <c r="J8" s="19">
        <f t="shared" si="3"/>
        <v>0.27525279403938263</v>
      </c>
      <c r="K8" s="1">
        <v>4697</v>
      </c>
      <c r="L8" s="19">
        <f t="shared" si="4"/>
        <v>0.26398021693924578</v>
      </c>
      <c r="M8" s="4">
        <f t="shared" si="5"/>
        <v>0.10112837981690448</v>
      </c>
      <c r="N8" s="32"/>
    </row>
    <row r="9" spans="1:14" x14ac:dyDescent="0.3">
      <c r="A9" s="11" t="s">
        <v>16</v>
      </c>
      <c r="B9" s="1">
        <v>88</v>
      </c>
      <c r="C9" s="19">
        <f t="shared" si="0"/>
        <v>4.4663249251383035E-3</v>
      </c>
      <c r="D9" s="1">
        <v>118</v>
      </c>
      <c r="E9" s="19">
        <f t="shared" si="1"/>
        <v>5.3512312366786087E-3</v>
      </c>
      <c r="F9" s="3">
        <f t="shared" si="2"/>
        <v>-0.25423728813559321</v>
      </c>
      <c r="G9" s="32"/>
      <c r="H9" t="s">
        <v>17</v>
      </c>
      <c r="I9" s="1">
        <v>3040</v>
      </c>
      <c r="J9" s="19">
        <f t="shared" si="3"/>
        <v>0.16178818520489621</v>
      </c>
      <c r="K9" s="1">
        <v>3011</v>
      </c>
      <c r="L9" s="19">
        <f t="shared" si="4"/>
        <v>0.16922385207665935</v>
      </c>
      <c r="M9" s="4">
        <f t="shared" si="5"/>
        <v>9.6313517103951973E-3</v>
      </c>
      <c r="N9" s="32"/>
    </row>
    <row r="10" spans="1:14" x14ac:dyDescent="0.3">
      <c r="A10" s="11" t="s">
        <v>18</v>
      </c>
      <c r="B10" s="1">
        <v>286</v>
      </c>
      <c r="C10" s="19">
        <f t="shared" si="0"/>
        <v>1.4515556006699487E-2</v>
      </c>
      <c r="D10" s="1">
        <v>311</v>
      </c>
      <c r="E10" s="19">
        <f t="shared" si="1"/>
        <v>1.4103668767856334E-2</v>
      </c>
      <c r="F10" s="3">
        <f t="shared" si="2"/>
        <v>-8.0385852090032128E-2</v>
      </c>
      <c r="G10" s="32"/>
      <c r="H10" t="s">
        <v>19</v>
      </c>
      <c r="I10" s="1">
        <v>648</v>
      </c>
      <c r="J10" s="19">
        <f t="shared" si="3"/>
        <v>3.4486428951569982E-2</v>
      </c>
      <c r="K10" s="1">
        <v>574</v>
      </c>
      <c r="L10" s="19">
        <f t="shared" si="4"/>
        <v>3.2259877479907828E-2</v>
      </c>
      <c r="M10" s="4">
        <f t="shared" si="5"/>
        <v>0.12891986062717775</v>
      </c>
      <c r="N10" s="32"/>
    </row>
    <row r="11" spans="1:14" x14ac:dyDescent="0.3">
      <c r="A11" s="11" t="s">
        <v>20</v>
      </c>
      <c r="B11" s="1">
        <v>-1</v>
      </c>
      <c r="C11" s="19">
        <f t="shared" si="0"/>
        <v>-5.0753692331117091E-5</v>
      </c>
      <c r="D11" s="1">
        <v>-3</v>
      </c>
      <c r="E11" s="19">
        <f t="shared" si="1"/>
        <v>-1.3604825177996463E-4</v>
      </c>
      <c r="F11" s="3">
        <f t="shared" si="2"/>
        <v>-0.66666666666666674</v>
      </c>
      <c r="G11" s="32"/>
      <c r="H11" t="s">
        <v>21</v>
      </c>
      <c r="I11" s="1">
        <v>3688</v>
      </c>
      <c r="J11" s="19">
        <f t="shared" si="3"/>
        <v>0.19627461415646622</v>
      </c>
      <c r="K11" s="1">
        <v>3585</v>
      </c>
      <c r="L11" s="19">
        <f t="shared" si="4"/>
        <v>0.20148372955656718</v>
      </c>
      <c r="M11" s="4">
        <f t="shared" si="5"/>
        <v>2.8730822873082262E-2</v>
      </c>
      <c r="N11" s="32"/>
    </row>
    <row r="12" spans="1:14" x14ac:dyDescent="0.3">
      <c r="A12" s="11" t="s">
        <v>22</v>
      </c>
      <c r="B12" s="1">
        <v>35</v>
      </c>
      <c r="C12" s="19">
        <f t="shared" si="0"/>
        <v>1.7763792315890982E-3</v>
      </c>
      <c r="D12" s="1">
        <v>32</v>
      </c>
      <c r="E12" s="19">
        <f t="shared" si="1"/>
        <v>1.4511813523196227E-3</v>
      </c>
      <c r="F12" s="3">
        <f t="shared" si="2"/>
        <v>9.375E-2</v>
      </c>
      <c r="G12" s="32"/>
      <c r="H12" t="s">
        <v>23</v>
      </c>
      <c r="I12" s="1">
        <v>64</v>
      </c>
      <c r="J12" s="19">
        <f t="shared" si="3"/>
        <v>3.4060670569451834E-3</v>
      </c>
      <c r="K12" s="1">
        <v>768</v>
      </c>
      <c r="L12" s="19">
        <f t="shared" si="4"/>
        <v>4.3163041645590962E-2</v>
      </c>
      <c r="M12" s="4">
        <f t="shared" si="5"/>
        <v>-0.91666666666666663</v>
      </c>
      <c r="N12" s="32"/>
    </row>
    <row r="13" spans="1:14" x14ac:dyDescent="0.3">
      <c r="A13" s="11" t="s">
        <v>24</v>
      </c>
      <c r="B13" s="1">
        <v>2014</v>
      </c>
      <c r="C13" s="19">
        <f t="shared" si="0"/>
        <v>0.10221793635486982</v>
      </c>
      <c r="D13" s="1">
        <v>1952</v>
      </c>
      <c r="E13" s="19">
        <f t="shared" si="1"/>
        <v>8.8522062491496981E-2</v>
      </c>
      <c r="F13" s="3">
        <f t="shared" si="2"/>
        <v>3.1762295081967151E-2</v>
      </c>
      <c r="G13" s="32"/>
      <c r="H13" t="s">
        <v>25</v>
      </c>
      <c r="I13" s="1">
        <v>939</v>
      </c>
      <c r="J13" s="19">
        <f t="shared" si="3"/>
        <v>4.9973390101117614E-2</v>
      </c>
      <c r="K13" s="1">
        <v>213</v>
      </c>
      <c r="L13" s="19">
        <f t="shared" si="4"/>
        <v>1.1970999831394368E-2</v>
      </c>
      <c r="M13" s="4">
        <f t="shared" si="5"/>
        <v>3.408450704225352</v>
      </c>
      <c r="N13" s="32"/>
    </row>
    <row r="14" spans="1:14" x14ac:dyDescent="0.3">
      <c r="A14" s="11" t="s">
        <v>26</v>
      </c>
      <c r="B14" s="1">
        <v>648</v>
      </c>
      <c r="C14" s="19">
        <f t="shared" si="0"/>
        <v>3.2888392630563874E-2</v>
      </c>
      <c r="D14" s="1">
        <v>1078</v>
      </c>
      <c r="E14" s="19">
        <f t="shared" si="1"/>
        <v>4.8886671806267289E-2</v>
      </c>
      <c r="F14" s="3">
        <f t="shared" si="2"/>
        <v>-0.39888682745825599</v>
      </c>
      <c r="G14" s="32"/>
      <c r="H14" t="s">
        <v>27</v>
      </c>
      <c r="I14" s="1">
        <v>1045</v>
      </c>
      <c r="J14" s="19">
        <f t="shared" si="3"/>
        <v>5.5614688664183079E-2</v>
      </c>
      <c r="K14" s="1">
        <v>1007</v>
      </c>
      <c r="L14" s="19">
        <f t="shared" si="4"/>
        <v>5.6595290282695443E-2</v>
      </c>
      <c r="M14" s="4">
        <f t="shared" si="5"/>
        <v>3.7735849056603765E-2</v>
      </c>
      <c r="N14" s="32"/>
    </row>
    <row r="15" spans="1:14" x14ac:dyDescent="0.3">
      <c r="A15" s="11" t="s">
        <v>28</v>
      </c>
      <c r="B15" s="1">
        <v>278</v>
      </c>
      <c r="C15" s="19">
        <f t="shared" si="0"/>
        <v>1.410952646805055E-2</v>
      </c>
      <c r="D15" s="1">
        <v>276</v>
      </c>
      <c r="E15" s="19">
        <f t="shared" si="1"/>
        <v>1.2516439163756745E-2</v>
      </c>
      <c r="F15" s="3">
        <f t="shared" si="2"/>
        <v>7.2463768115942351E-3</v>
      </c>
      <c r="G15" s="32"/>
      <c r="H15" t="s">
        <v>29</v>
      </c>
      <c r="I15" s="1">
        <v>435</v>
      </c>
      <c r="J15" s="19">
        <f t="shared" si="3"/>
        <v>2.3150612027674294E-2</v>
      </c>
      <c r="K15" s="1">
        <v>660</v>
      </c>
      <c r="L15" s="19">
        <f t="shared" si="4"/>
        <v>3.7093238914179733E-2</v>
      </c>
      <c r="M15" s="4">
        <f t="shared" si="5"/>
        <v>-0.34090909090909094</v>
      </c>
      <c r="N15" s="32"/>
    </row>
    <row r="16" spans="1:14" x14ac:dyDescent="0.3">
      <c r="A16" s="11" t="s">
        <v>30</v>
      </c>
      <c r="B16" s="1">
        <v>13587</v>
      </c>
      <c r="C16" s="19">
        <f t="shared" si="0"/>
        <v>0.68959041770288787</v>
      </c>
      <c r="D16" s="1">
        <v>14528</v>
      </c>
      <c r="E16" s="19">
        <f t="shared" si="1"/>
        <v>0.6588363339531087</v>
      </c>
      <c r="F16" s="3">
        <f t="shared" si="2"/>
        <v>-6.4771475770925124E-2</v>
      </c>
      <c r="G16" s="32"/>
      <c r="H16" t="s">
        <v>31</v>
      </c>
      <c r="I16" s="1">
        <v>238</v>
      </c>
      <c r="J16" s="19">
        <f t="shared" si="3"/>
        <v>1.2666311868014901E-2</v>
      </c>
      <c r="K16" s="1">
        <v>633</v>
      </c>
      <c r="L16" s="19">
        <f t="shared" si="4"/>
        <v>3.5575788231326927E-2</v>
      </c>
      <c r="M16" s="4">
        <f t="shared" si="5"/>
        <v>-0.62401263823064768</v>
      </c>
      <c r="N16" s="32"/>
    </row>
    <row r="17" spans="1:14" x14ac:dyDescent="0.3">
      <c r="A17" s="11" t="s">
        <v>32</v>
      </c>
      <c r="B17" s="1">
        <v>4892</v>
      </c>
      <c r="C17" s="19">
        <f t="shared" si="0"/>
        <v>0.24828706288382479</v>
      </c>
      <c r="D17" s="1">
        <v>5113</v>
      </c>
      <c r="E17" s="19">
        <f t="shared" si="1"/>
        <v>0.23187157045031973</v>
      </c>
      <c r="F17" s="3">
        <f t="shared" si="2"/>
        <v>-4.3223156659495388E-2</v>
      </c>
      <c r="G17" s="32"/>
      <c r="H17" t="s">
        <v>33</v>
      </c>
      <c r="I17" s="1">
        <v>1479</v>
      </c>
      <c r="J17" s="19">
        <f t="shared" si="3"/>
        <v>7.8712080894092609E-2</v>
      </c>
      <c r="K17" s="1">
        <v>1639</v>
      </c>
      <c r="L17" s="19">
        <f t="shared" si="4"/>
        <v>9.2114876636879672E-2</v>
      </c>
      <c r="M17" s="4">
        <f t="shared" si="5"/>
        <v>-9.7620500305064084E-2</v>
      </c>
      <c r="N17" s="32"/>
    </row>
    <row r="18" spans="1:14" x14ac:dyDescent="0.3">
      <c r="A18" s="11" t="s">
        <v>34</v>
      </c>
      <c r="B18" s="1">
        <v>2368</v>
      </c>
      <c r="C18" s="19">
        <f t="shared" si="0"/>
        <v>0.12018474344008527</v>
      </c>
      <c r="D18" s="1">
        <v>2535</v>
      </c>
      <c r="E18" s="19">
        <f t="shared" si="1"/>
        <v>0.11496077275407011</v>
      </c>
      <c r="F18" s="3">
        <f t="shared" si="2"/>
        <v>-6.5877712031558233E-2</v>
      </c>
      <c r="G18" s="32"/>
      <c r="H18" t="s">
        <v>35</v>
      </c>
      <c r="I18" s="1">
        <v>1241</v>
      </c>
      <c r="J18" s="19">
        <f t="shared" si="3"/>
        <v>6.60457690260777E-2</v>
      </c>
      <c r="K18" s="1">
        <v>1006</v>
      </c>
      <c r="L18" s="19">
        <f t="shared" si="4"/>
        <v>5.6539088405552745E-2</v>
      </c>
      <c r="M18" s="4">
        <f t="shared" si="5"/>
        <v>0.23359840954274347</v>
      </c>
      <c r="N18" s="32"/>
    </row>
    <row r="19" spans="1:14" x14ac:dyDescent="0.3">
      <c r="A19" s="11" t="s">
        <v>36</v>
      </c>
      <c r="B19" s="1">
        <v>1184</v>
      </c>
      <c r="C19" s="19">
        <f t="shared" si="0"/>
        <v>6.0092371720042635E-2</v>
      </c>
      <c r="D19" s="1">
        <v>1078</v>
      </c>
      <c r="E19" s="19">
        <f t="shared" si="1"/>
        <v>4.8886671806267289E-2</v>
      </c>
      <c r="F19" s="3">
        <f t="shared" si="2"/>
        <v>9.8330241187384093E-2</v>
      </c>
      <c r="G19" s="32"/>
      <c r="H19" t="s">
        <v>37</v>
      </c>
      <c r="I19" s="1">
        <v>1677</v>
      </c>
      <c r="J19" s="19">
        <f t="shared" si="3"/>
        <v>8.9249600851516758E-2</v>
      </c>
      <c r="K19" s="1">
        <v>346</v>
      </c>
      <c r="L19" s="19">
        <f t="shared" si="4"/>
        <v>1.9445849491373013E-2</v>
      </c>
      <c r="M19" s="4">
        <f t="shared" si="5"/>
        <v>3.8468208092485545</v>
      </c>
      <c r="N19" s="32"/>
    </row>
    <row r="20" spans="1:14" x14ac:dyDescent="0.3">
      <c r="A20" s="11" t="s">
        <v>38</v>
      </c>
      <c r="B20" s="1">
        <v>5</v>
      </c>
      <c r="C20" s="19">
        <f t="shared" si="0"/>
        <v>2.5376846165558542E-4</v>
      </c>
      <c r="D20" s="1">
        <v>52</v>
      </c>
      <c r="E20" s="19">
        <f t="shared" si="1"/>
        <v>2.3581696975193867E-3</v>
      </c>
      <c r="F20" s="3">
        <f t="shared" si="2"/>
        <v>-0.90384615384615385</v>
      </c>
      <c r="G20" s="32"/>
      <c r="H20" t="s">
        <v>39</v>
      </c>
      <c r="I20" s="1">
        <v>12</v>
      </c>
      <c r="J20" s="19">
        <f t="shared" si="3"/>
        <v>6.3863757317722189E-4</v>
      </c>
      <c r="K20" s="1">
        <v>49</v>
      </c>
      <c r="L20" s="19">
        <f t="shared" si="4"/>
        <v>2.7538919799921318E-3</v>
      </c>
      <c r="M20" s="4">
        <f t="shared" si="5"/>
        <v>-0.75510204081632648</v>
      </c>
      <c r="N20" s="32"/>
    </row>
    <row r="21" spans="1:14" x14ac:dyDescent="0.3">
      <c r="A21" s="11" t="s">
        <v>40</v>
      </c>
      <c r="B21" s="1">
        <v>332</v>
      </c>
      <c r="C21" s="19">
        <f t="shared" si="0"/>
        <v>1.6850225853930874E-2</v>
      </c>
      <c r="D21" s="1">
        <v>517</v>
      </c>
      <c r="E21" s="19">
        <f t="shared" si="1"/>
        <v>2.3445648723413905E-2</v>
      </c>
      <c r="F21" s="3">
        <f t="shared" si="2"/>
        <v>-0.35783365570599612</v>
      </c>
      <c r="G21" s="32"/>
      <c r="H21" t="s">
        <v>41</v>
      </c>
      <c r="I21" s="1">
        <v>1665</v>
      </c>
      <c r="J21" s="19">
        <f t="shared" si="3"/>
        <v>8.8610963278339547E-2</v>
      </c>
      <c r="K21" s="1">
        <v>73</v>
      </c>
      <c r="L21" s="19">
        <f t="shared" si="4"/>
        <v>4.1027370314168496E-3</v>
      </c>
      <c r="M21" s="4">
        <f t="shared" si="5"/>
        <v>21.80821917808219</v>
      </c>
      <c r="N21" s="32"/>
    </row>
    <row r="22" spans="1:14" x14ac:dyDescent="0.3">
      <c r="A22" s="11" t="s">
        <v>42</v>
      </c>
      <c r="B22" s="1">
        <v>979</v>
      </c>
      <c r="C22" s="19">
        <f t="shared" si="0"/>
        <v>4.9687864792163632E-2</v>
      </c>
      <c r="D22" s="1">
        <v>931</v>
      </c>
      <c r="E22" s="19">
        <f t="shared" si="1"/>
        <v>4.222030746904902E-2</v>
      </c>
      <c r="F22" s="3">
        <f t="shared" si="2"/>
        <v>5.155746509129977E-2</v>
      </c>
      <c r="G22" s="32"/>
      <c r="H22" t="s">
        <v>43</v>
      </c>
      <c r="I22" s="1">
        <v>738</v>
      </c>
      <c r="J22" s="19">
        <f t="shared" si="3"/>
        <v>3.9276210750399151E-2</v>
      </c>
      <c r="K22" s="1">
        <v>2206</v>
      </c>
      <c r="L22" s="19">
        <f t="shared" si="4"/>
        <v>0.12398134097678863</v>
      </c>
      <c r="M22" s="4">
        <f t="shared" si="5"/>
        <v>-0.66545784224841342</v>
      </c>
      <c r="N22" s="32"/>
    </row>
    <row r="23" spans="1:14" x14ac:dyDescent="0.3">
      <c r="A23" s="11" t="s">
        <v>44</v>
      </c>
      <c r="B23" s="1">
        <v>804</v>
      </c>
      <c r="C23" s="19">
        <f t="shared" si="0"/>
        <v>4.0805968634218141E-2</v>
      </c>
      <c r="D23" s="1">
        <v>864</v>
      </c>
      <c r="E23" s="19">
        <f t="shared" si="1"/>
        <v>3.9181896512629814E-2</v>
      </c>
      <c r="F23" s="3">
        <f t="shared" si="2"/>
        <v>-6.944444444444442E-2</v>
      </c>
      <c r="G23" s="32"/>
      <c r="H23" t="s">
        <v>45</v>
      </c>
      <c r="I23" s="1">
        <v>2403</v>
      </c>
      <c r="J23" s="19">
        <f t="shared" si="3"/>
        <v>0.1278871740287387</v>
      </c>
      <c r="K23" s="1">
        <v>2133</v>
      </c>
      <c r="L23" s="19">
        <f t="shared" si="4"/>
        <v>0.11987860394537178</v>
      </c>
      <c r="M23" s="4">
        <f t="shared" si="5"/>
        <v>0.12658227848101267</v>
      </c>
      <c r="N23" s="32"/>
    </row>
    <row r="24" spans="1:14" x14ac:dyDescent="0.3">
      <c r="A24" s="11" t="s">
        <v>46</v>
      </c>
      <c r="B24" s="1">
        <v>6147</v>
      </c>
      <c r="C24" s="19">
        <f t="shared" si="0"/>
        <v>0.31198294675937677</v>
      </c>
      <c r="D24" s="1">
        <v>6577</v>
      </c>
      <c r="E24" s="19">
        <f t="shared" si="1"/>
        <v>0.29826311731894245</v>
      </c>
      <c r="F24" s="3">
        <f t="shared" si="2"/>
        <v>-6.5379352288277293E-2</v>
      </c>
      <c r="G24" s="32"/>
      <c r="H24" t="s">
        <v>47</v>
      </c>
      <c r="I24" s="1">
        <v>725</v>
      </c>
      <c r="J24" s="19">
        <f t="shared" si="3"/>
        <v>3.8584353379457155E-2</v>
      </c>
      <c r="K24" s="1">
        <v>1782</v>
      </c>
      <c r="L24" s="19">
        <f t="shared" si="4"/>
        <v>0.10015174506828528</v>
      </c>
      <c r="M24" s="4">
        <f t="shared" si="5"/>
        <v>-0.59315375982042651</v>
      </c>
      <c r="N24" s="32"/>
    </row>
    <row r="25" spans="1:14" x14ac:dyDescent="0.3">
      <c r="A25" s="11" t="s">
        <v>48</v>
      </c>
      <c r="B25" s="1">
        <v>1744</v>
      </c>
      <c r="C25" s="19">
        <f t="shared" si="0"/>
        <v>8.8514439425468203E-2</v>
      </c>
      <c r="D25" s="1">
        <v>1974</v>
      </c>
      <c r="E25" s="19">
        <f t="shared" si="1"/>
        <v>8.9519749671216731E-2</v>
      </c>
      <c r="F25" s="3">
        <f t="shared" si="2"/>
        <v>-0.11651469098277611</v>
      </c>
      <c r="G25" s="32"/>
      <c r="H25" s="9" t="s">
        <v>49</v>
      </c>
      <c r="I25" s="13">
        <v>1664</v>
      </c>
      <c r="J25" s="20">
        <f t="shared" si="3"/>
        <v>8.8557743480574769E-2</v>
      </c>
      <c r="K25" s="13">
        <v>1996</v>
      </c>
      <c r="L25" s="20">
        <f t="shared" si="4"/>
        <v>0.11217894677682234</v>
      </c>
      <c r="M25" s="15">
        <f t="shared" si="5"/>
        <v>-0.16633266533066138</v>
      </c>
      <c r="N25" s="32"/>
    </row>
    <row r="26" spans="1:14" x14ac:dyDescent="0.3">
      <c r="A26" s="12" t="s">
        <v>50</v>
      </c>
      <c r="B26" s="13">
        <v>19703</v>
      </c>
      <c r="C26" s="20"/>
      <c r="D26" s="13">
        <v>22051</v>
      </c>
      <c r="E26" s="20"/>
      <c r="F26" s="14">
        <f>B26/D26-1</f>
        <v>-0.10648043172645227</v>
      </c>
      <c r="G26" s="32"/>
      <c r="H26" s="16"/>
      <c r="I26" s="16"/>
      <c r="J26" s="16"/>
      <c r="K26" s="16"/>
      <c r="L26" s="16"/>
      <c r="M26" s="16"/>
      <c r="N26" s="32"/>
    </row>
    <row r="27" spans="1:14" x14ac:dyDescent="0.3">
      <c r="G27" s="32"/>
      <c r="H27" s="39"/>
      <c r="I27" s="32"/>
      <c r="J27" s="32"/>
      <c r="K27" s="32"/>
      <c r="L27" s="32"/>
      <c r="M27" s="32"/>
      <c r="N27" s="32"/>
    </row>
    <row r="28" spans="1:14" x14ac:dyDescent="0.3">
      <c r="A28" s="21" t="s">
        <v>0</v>
      </c>
      <c r="B28" s="21"/>
      <c r="C28" s="21"/>
      <c r="D28" s="21"/>
      <c r="E28" s="21"/>
      <c r="F28" s="21"/>
      <c r="G28" s="32"/>
      <c r="H28" s="40"/>
      <c r="I28" s="26"/>
      <c r="J28" s="26"/>
      <c r="K28" s="26"/>
      <c r="L28" s="32"/>
      <c r="M28" s="32"/>
      <c r="N28" s="32"/>
    </row>
    <row r="29" spans="1:14" x14ac:dyDescent="0.3">
      <c r="A29" s="23" t="s">
        <v>2</v>
      </c>
      <c r="B29" s="22" t="s">
        <v>51</v>
      </c>
      <c r="C29" s="22"/>
      <c r="D29" s="22"/>
      <c r="E29" s="22"/>
      <c r="F29" s="22"/>
      <c r="G29" s="32"/>
      <c r="H29" s="41"/>
      <c r="I29" s="27">
        <v>2023</v>
      </c>
      <c r="J29" s="27">
        <v>2024</v>
      </c>
      <c r="K29" s="28" t="s">
        <v>52</v>
      </c>
      <c r="L29" s="36"/>
      <c r="M29" s="36"/>
      <c r="N29" s="32"/>
    </row>
    <row r="30" spans="1:14" x14ac:dyDescent="0.3">
      <c r="A30" s="23"/>
      <c r="B30" s="22" t="s">
        <v>4</v>
      </c>
      <c r="C30" s="22"/>
      <c r="D30" s="22"/>
      <c r="E30" s="22"/>
      <c r="F30" s="22"/>
      <c r="G30" s="32"/>
      <c r="H30" s="42" t="s">
        <v>53</v>
      </c>
      <c r="I30" s="30">
        <f>D5</f>
        <v>7523</v>
      </c>
      <c r="J30" s="30">
        <f>B32</f>
        <v>6356</v>
      </c>
      <c r="K30" s="31">
        <f>I30/J30</f>
        <v>1.1836060415355569</v>
      </c>
      <c r="L30" s="37"/>
      <c r="M30" s="37"/>
      <c r="N30" s="32"/>
    </row>
    <row r="31" spans="1:14" x14ac:dyDescent="0.3">
      <c r="A31" s="23"/>
      <c r="B31" s="2">
        <v>45657</v>
      </c>
      <c r="C31" s="7" t="s">
        <v>5</v>
      </c>
      <c r="D31" s="2">
        <v>45291</v>
      </c>
      <c r="E31" s="8" t="s">
        <v>5</v>
      </c>
      <c r="F31" s="13" t="s">
        <v>6</v>
      </c>
      <c r="G31" s="32"/>
      <c r="H31" s="39" t="s">
        <v>54</v>
      </c>
      <c r="I31" s="33">
        <f>D6</f>
        <v>2971</v>
      </c>
      <c r="J31" s="33">
        <f>B32</f>
        <v>6356</v>
      </c>
      <c r="K31" s="25">
        <f>I31/J31</f>
        <v>0.46743234738829453</v>
      </c>
      <c r="L31" s="33"/>
      <c r="M31" s="33"/>
      <c r="N31" s="32"/>
    </row>
    <row r="32" spans="1:14" x14ac:dyDescent="0.3">
      <c r="A32" t="s">
        <v>55</v>
      </c>
      <c r="B32" s="1">
        <v>6356</v>
      </c>
      <c r="C32" s="19">
        <f t="shared" ref="C32:C60" si="6">B32/$B$61</f>
        <v>0.32259046845658024</v>
      </c>
      <c r="D32" s="1">
        <v>6225</v>
      </c>
      <c r="E32" s="19">
        <f t="shared" ref="E32:E60" si="7">D32/$B$61</f>
        <v>0.31594173476120385</v>
      </c>
      <c r="F32" s="3">
        <f>B32/D32-1</f>
        <v>2.1044176706827233E-2</v>
      </c>
      <c r="G32" s="32"/>
      <c r="H32" s="39" t="s">
        <v>56</v>
      </c>
      <c r="I32" s="46">
        <f>((D61-D54)/B26)*100</f>
        <v>87.945998071359682</v>
      </c>
      <c r="J32" s="46"/>
      <c r="K32" s="25">
        <f>J32/I32</f>
        <v>0</v>
      </c>
      <c r="L32" s="33"/>
      <c r="M32" s="33"/>
      <c r="N32" s="32"/>
    </row>
    <row r="33" spans="1:14" x14ac:dyDescent="0.3">
      <c r="A33" t="s">
        <v>57</v>
      </c>
      <c r="B33" s="1">
        <v>2975</v>
      </c>
      <c r="C33" s="19">
        <f t="shared" si="6"/>
        <v>0.15099223468507333</v>
      </c>
      <c r="D33" s="1">
        <v>2730</v>
      </c>
      <c r="E33" s="19">
        <f t="shared" si="7"/>
        <v>0.13855758006394966</v>
      </c>
      <c r="F33" s="3">
        <f t="shared" ref="F33:F61" si="8">B33/D33-1</f>
        <v>8.9743589743589647E-2</v>
      </c>
      <c r="G33" s="32"/>
      <c r="H33" s="39" t="s">
        <v>58</v>
      </c>
      <c r="I33" s="33"/>
      <c r="J33" s="33"/>
      <c r="K33" s="25" t="e">
        <f>I33/J33</f>
        <v>#DIV/0!</v>
      </c>
      <c r="L33" s="33"/>
      <c r="M33" s="33"/>
      <c r="N33" s="32"/>
    </row>
    <row r="34" spans="1:14" x14ac:dyDescent="0.3">
      <c r="A34" t="s">
        <v>59</v>
      </c>
      <c r="B34" s="1">
        <v>372</v>
      </c>
      <c r="C34" s="19">
        <f t="shared" si="6"/>
        <v>1.8880373547175557E-2</v>
      </c>
      <c r="D34" s="1">
        <v>524</v>
      </c>
      <c r="E34" s="19">
        <f t="shared" si="7"/>
        <v>2.6594934781505354E-2</v>
      </c>
      <c r="F34" s="3">
        <f t="shared" si="8"/>
        <v>-0.29007633587786263</v>
      </c>
      <c r="G34" s="32"/>
      <c r="H34" s="43" t="s">
        <v>60</v>
      </c>
      <c r="I34" s="33"/>
      <c r="J34" s="33"/>
      <c r="K34" s="25"/>
      <c r="L34" s="33"/>
      <c r="M34" s="33"/>
      <c r="N34" s="32"/>
    </row>
    <row r="35" spans="1:14" x14ac:dyDescent="0.3">
      <c r="A35" t="s">
        <v>61</v>
      </c>
      <c r="B35" s="1">
        <v>16</v>
      </c>
      <c r="C35" s="19">
        <f t="shared" si="6"/>
        <v>8.1205907729787346E-4</v>
      </c>
      <c r="D35" s="1">
        <v>941</v>
      </c>
      <c r="E35" s="19">
        <f t="shared" si="7"/>
        <v>4.7759224483581178E-2</v>
      </c>
      <c r="F35" s="3">
        <f t="shared" si="8"/>
        <v>-0.98299681190223165</v>
      </c>
      <c r="G35" s="32"/>
      <c r="H35" s="43" t="s">
        <v>62</v>
      </c>
      <c r="I35" s="33"/>
      <c r="J35" s="33"/>
      <c r="K35" s="25"/>
      <c r="L35" s="33"/>
      <c r="M35" s="33"/>
      <c r="N35" s="32"/>
    </row>
    <row r="36" spans="1:14" x14ac:dyDescent="0.3">
      <c r="A36" t="s">
        <v>63</v>
      </c>
      <c r="B36" s="1">
        <v>834</v>
      </c>
      <c r="C36" s="19">
        <f t="shared" si="6"/>
        <v>4.2328579404151655E-2</v>
      </c>
      <c r="D36" s="1">
        <v>31</v>
      </c>
      <c r="E36" s="19">
        <f t="shared" si="7"/>
        <v>1.5733644622646298E-3</v>
      </c>
      <c r="F36" s="3">
        <f>B36/D36-1</f>
        <v>25.903225806451612</v>
      </c>
      <c r="G36" s="32"/>
      <c r="H36" s="39" t="s">
        <v>64</v>
      </c>
      <c r="I36" s="33"/>
      <c r="J36" s="33"/>
      <c r="K36" s="25"/>
      <c r="L36" s="33"/>
      <c r="M36" s="33"/>
      <c r="N36" s="32"/>
    </row>
    <row r="37" spans="1:14" x14ac:dyDescent="0.3">
      <c r="A37" t="s">
        <v>65</v>
      </c>
      <c r="B37" s="1">
        <v>451</v>
      </c>
      <c r="C37" s="19">
        <f t="shared" si="6"/>
        <v>2.2889915241333807E-2</v>
      </c>
      <c r="D37" s="1">
        <v>474</v>
      </c>
      <c r="E37" s="19">
        <f t="shared" si="7"/>
        <v>2.4057250164949501E-2</v>
      </c>
      <c r="F37" s="3">
        <f t="shared" si="8"/>
        <v>-4.8523206751054815E-2</v>
      </c>
      <c r="G37" s="32"/>
      <c r="H37" s="39" t="s">
        <v>66</v>
      </c>
      <c r="I37" s="33"/>
      <c r="J37" s="33"/>
      <c r="K37" s="25"/>
      <c r="L37" s="33"/>
      <c r="M37" s="33"/>
      <c r="N37" s="32"/>
    </row>
    <row r="38" spans="1:14" x14ac:dyDescent="0.3">
      <c r="A38" t="s">
        <v>67</v>
      </c>
      <c r="B38" s="1">
        <v>437</v>
      </c>
      <c r="C38" s="19">
        <f t="shared" si="6"/>
        <v>2.2179363548698167E-2</v>
      </c>
      <c r="D38" s="1">
        <v>381</v>
      </c>
      <c r="E38" s="19">
        <f t="shared" si="7"/>
        <v>1.9337156778155611E-2</v>
      </c>
      <c r="F38" s="3">
        <f t="shared" si="8"/>
        <v>0.14698162729658804</v>
      </c>
      <c r="G38" s="32"/>
      <c r="H38" s="44" t="s">
        <v>68</v>
      </c>
      <c r="I38" s="35"/>
      <c r="J38" s="35"/>
      <c r="K38" s="35"/>
      <c r="L38" s="33"/>
      <c r="M38" s="33"/>
      <c r="N38" s="32"/>
    </row>
    <row r="39" spans="1:14" x14ac:dyDescent="0.3">
      <c r="A39" t="s">
        <v>69</v>
      </c>
      <c r="B39" s="1">
        <v>457</v>
      </c>
      <c r="C39" s="19">
        <f t="shared" si="6"/>
        <v>2.3194437395320511E-2</v>
      </c>
      <c r="D39" s="1">
        <v>411</v>
      </c>
      <c r="E39" s="19">
        <f t="shared" si="7"/>
        <v>2.0859767548089124E-2</v>
      </c>
      <c r="F39" s="3">
        <f t="shared" si="8"/>
        <v>0.1119221411192215</v>
      </c>
      <c r="G39" s="32"/>
      <c r="H39" s="39"/>
      <c r="I39" s="32"/>
      <c r="J39" s="32"/>
      <c r="K39" s="32"/>
      <c r="L39" s="32"/>
      <c r="M39" s="32"/>
      <c r="N39" s="32"/>
    </row>
    <row r="40" spans="1:14" x14ac:dyDescent="0.3">
      <c r="A40" t="s">
        <v>70</v>
      </c>
      <c r="B40" s="1">
        <v>156</v>
      </c>
      <c r="C40" s="19">
        <f t="shared" si="6"/>
        <v>7.9175760036542652E-3</v>
      </c>
      <c r="D40" s="1">
        <v>112</v>
      </c>
      <c r="E40" s="19">
        <f t="shared" si="7"/>
        <v>5.6844135410851144E-3</v>
      </c>
      <c r="F40" s="3">
        <f t="shared" si="8"/>
        <v>0.39285714285714279</v>
      </c>
      <c r="G40" s="32"/>
      <c r="H40" s="42"/>
      <c r="I40" s="32"/>
      <c r="J40" s="32"/>
      <c r="K40" s="32"/>
      <c r="L40" s="32"/>
      <c r="M40" s="32"/>
      <c r="N40" s="32"/>
    </row>
    <row r="41" spans="1:14" x14ac:dyDescent="0.3">
      <c r="A41" t="s">
        <v>71</v>
      </c>
      <c r="B41" s="1">
        <v>6</v>
      </c>
      <c r="C41" s="19">
        <f t="shared" si="6"/>
        <v>3.0452215398670251E-4</v>
      </c>
      <c r="D41" s="1">
        <v>85</v>
      </c>
      <c r="E41" s="19">
        <f t="shared" si="7"/>
        <v>4.3140638481449526E-3</v>
      </c>
      <c r="F41" s="3">
        <f t="shared" si="8"/>
        <v>-0.92941176470588238</v>
      </c>
      <c r="G41" s="32"/>
      <c r="H41" s="42"/>
      <c r="I41" s="32"/>
      <c r="J41" s="32"/>
      <c r="K41" s="32"/>
      <c r="L41" s="32"/>
      <c r="M41" s="32"/>
      <c r="N41" s="32"/>
    </row>
    <row r="42" spans="1:14" x14ac:dyDescent="0.3">
      <c r="A42" t="s">
        <v>72</v>
      </c>
      <c r="B42" s="1">
        <v>12</v>
      </c>
      <c r="C42" s="19">
        <f t="shared" si="6"/>
        <v>6.0904430797340502E-4</v>
      </c>
      <c r="D42" s="1">
        <v>13</v>
      </c>
      <c r="E42" s="19">
        <f t="shared" si="7"/>
        <v>6.597980003045221E-4</v>
      </c>
      <c r="F42" s="3">
        <f t="shared" si="8"/>
        <v>-7.6923076923076872E-2</v>
      </c>
      <c r="G42" s="32"/>
      <c r="H42" s="24"/>
      <c r="I42" s="24"/>
      <c r="J42" s="24"/>
      <c r="K42" s="24"/>
      <c r="L42" s="24"/>
      <c r="M42" s="24"/>
      <c r="N42" s="24"/>
    </row>
    <row r="43" spans="1:14" x14ac:dyDescent="0.3">
      <c r="A43" t="s">
        <v>73</v>
      </c>
      <c r="B43" s="1">
        <v>4</v>
      </c>
      <c r="C43" s="19">
        <f t="shared" si="6"/>
        <v>2.0301476932446837E-4</v>
      </c>
      <c r="D43" s="1">
        <v>11</v>
      </c>
      <c r="E43" s="19">
        <f t="shared" si="7"/>
        <v>5.5829061564228793E-4</v>
      </c>
      <c r="F43" s="3">
        <f t="shared" si="8"/>
        <v>-0.63636363636363635</v>
      </c>
      <c r="G43" s="32"/>
      <c r="I43" s="24"/>
    </row>
    <row r="44" spans="1:14" x14ac:dyDescent="0.3">
      <c r="A44" t="s">
        <v>74</v>
      </c>
      <c r="B44" s="1">
        <v>174</v>
      </c>
      <c r="C44" s="19">
        <f t="shared" si="6"/>
        <v>8.8311424656143736E-3</v>
      </c>
      <c r="D44" s="1">
        <v>168</v>
      </c>
      <c r="E44" s="19">
        <f t="shared" si="7"/>
        <v>8.5266203116276702E-3</v>
      </c>
      <c r="F44" s="3">
        <f t="shared" si="8"/>
        <v>3.5714285714285809E-2</v>
      </c>
      <c r="G44" s="32"/>
    </row>
    <row r="45" spans="1:14" x14ac:dyDescent="0.3">
      <c r="A45" t="s">
        <v>75</v>
      </c>
      <c r="B45" s="1">
        <v>10412</v>
      </c>
      <c r="C45" s="19">
        <f t="shared" si="6"/>
        <v>0.52844744455159109</v>
      </c>
      <c r="D45" s="1">
        <v>11104</v>
      </c>
      <c r="E45" s="19">
        <f t="shared" si="7"/>
        <v>0.56356899964472418</v>
      </c>
      <c r="F45" s="3">
        <f t="shared" si="8"/>
        <v>-6.2319884726224739E-2</v>
      </c>
      <c r="G45" s="32"/>
    </row>
    <row r="46" spans="1:14" x14ac:dyDescent="0.3">
      <c r="A46" t="s">
        <v>76</v>
      </c>
      <c r="B46" s="1">
        <v>722</v>
      </c>
      <c r="C46" s="19">
        <f t="shared" si="6"/>
        <v>3.6644165863066541E-2</v>
      </c>
      <c r="D46" s="1">
        <v>983</v>
      </c>
      <c r="E46" s="19">
        <f t="shared" si="7"/>
        <v>4.9890879561488098E-2</v>
      </c>
      <c r="F46" s="3">
        <f t="shared" si="8"/>
        <v>-0.26551373346897256</v>
      </c>
      <c r="G46" s="32"/>
    </row>
    <row r="47" spans="1:14" x14ac:dyDescent="0.3">
      <c r="A47" t="s">
        <v>77</v>
      </c>
      <c r="B47" s="1">
        <v>2474</v>
      </c>
      <c r="C47" s="19">
        <f t="shared" si="6"/>
        <v>0.12556463482718369</v>
      </c>
      <c r="D47" s="1">
        <v>3319</v>
      </c>
      <c r="E47" s="19">
        <f t="shared" si="7"/>
        <v>0.16845150484697763</v>
      </c>
      <c r="F47" s="3">
        <f t="shared" si="8"/>
        <v>-0.25459475745706539</v>
      </c>
      <c r="G47" s="32"/>
    </row>
    <row r="48" spans="1:14" x14ac:dyDescent="0.3">
      <c r="A48" t="s">
        <v>78</v>
      </c>
      <c r="B48" s="1">
        <v>3877</v>
      </c>
      <c r="C48" s="19">
        <f t="shared" si="6"/>
        <v>0.19677206516774096</v>
      </c>
      <c r="D48" s="1">
        <v>3826</v>
      </c>
      <c r="E48" s="19">
        <f t="shared" si="7"/>
        <v>0.19418362685885399</v>
      </c>
      <c r="F48" s="3">
        <f t="shared" si="8"/>
        <v>1.3329848405645661E-2</v>
      </c>
      <c r="G48" s="32"/>
    </row>
    <row r="49" spans="1:7" x14ac:dyDescent="0.3">
      <c r="A49" t="s">
        <v>79</v>
      </c>
      <c r="B49" s="1">
        <v>286</v>
      </c>
      <c r="C49" s="19">
        <f t="shared" si="6"/>
        <v>1.4515556006699487E-2</v>
      </c>
      <c r="D49" s="1">
        <v>270</v>
      </c>
      <c r="E49" s="19">
        <f t="shared" si="7"/>
        <v>1.3703496929401614E-2</v>
      </c>
      <c r="F49" s="3">
        <f t="shared" si="8"/>
        <v>5.9259259259259345E-2</v>
      </c>
      <c r="G49" s="32"/>
    </row>
    <row r="50" spans="1:7" x14ac:dyDescent="0.3">
      <c r="A50" t="s">
        <v>80</v>
      </c>
      <c r="B50" s="1">
        <v>625</v>
      </c>
      <c r="C50" s="19">
        <f t="shared" si="6"/>
        <v>3.1721057706948178E-2</v>
      </c>
      <c r="D50" s="1">
        <v>69</v>
      </c>
      <c r="E50" s="19">
        <f t="shared" si="7"/>
        <v>3.5020047708470793E-3</v>
      </c>
      <c r="F50" s="3">
        <f t="shared" si="8"/>
        <v>8.0579710144927539</v>
      </c>
      <c r="G50" s="32"/>
    </row>
    <row r="51" spans="1:7" x14ac:dyDescent="0.3">
      <c r="A51" t="s">
        <v>81</v>
      </c>
      <c r="B51" s="1">
        <v>2042</v>
      </c>
      <c r="C51" s="19">
        <f t="shared" si="6"/>
        <v>0.10363903974014109</v>
      </c>
      <c r="D51" s="1">
        <v>2152</v>
      </c>
      <c r="E51" s="19">
        <f t="shared" si="7"/>
        <v>0.10922194589656398</v>
      </c>
      <c r="F51" s="3">
        <f t="shared" si="8"/>
        <v>-5.1115241635687703E-2</v>
      </c>
      <c r="G51" s="32"/>
    </row>
    <row r="52" spans="1:7" x14ac:dyDescent="0.3">
      <c r="A52" t="s">
        <v>82</v>
      </c>
      <c r="B52" s="1">
        <v>59</v>
      </c>
      <c r="C52" s="19">
        <f t="shared" si="6"/>
        <v>2.9944678475359084E-3</v>
      </c>
      <c r="D52" s="1">
        <v>75</v>
      </c>
      <c r="E52" s="19">
        <f t="shared" si="7"/>
        <v>3.8065269248337818E-3</v>
      </c>
      <c r="F52" s="3">
        <f t="shared" si="8"/>
        <v>-0.21333333333333337</v>
      </c>
      <c r="G52" s="32"/>
    </row>
    <row r="53" spans="1:7" x14ac:dyDescent="0.3">
      <c r="A53" t="s">
        <v>83</v>
      </c>
      <c r="B53" s="1">
        <v>327</v>
      </c>
      <c r="C53" s="19">
        <f t="shared" si="6"/>
        <v>1.6596457392275287E-2</v>
      </c>
      <c r="D53" s="1">
        <v>410</v>
      </c>
      <c r="E53" s="19">
        <f t="shared" si="7"/>
        <v>2.0809013855758007E-2</v>
      </c>
      <c r="F53" s="3">
        <f t="shared" si="8"/>
        <v>-0.20243902439024386</v>
      </c>
      <c r="G53" s="32"/>
    </row>
    <row r="54" spans="1:7" x14ac:dyDescent="0.3">
      <c r="A54" t="s">
        <v>84</v>
      </c>
      <c r="B54" s="1">
        <v>2935</v>
      </c>
      <c r="C54" s="19">
        <f t="shared" si="6"/>
        <v>0.14896208699182867</v>
      </c>
      <c r="D54" s="1">
        <v>4722</v>
      </c>
      <c r="E54" s="19">
        <f t="shared" si="7"/>
        <v>0.23965893518753489</v>
      </c>
      <c r="F54" s="3">
        <f t="shared" si="8"/>
        <v>-0.37844133841592542</v>
      </c>
      <c r="G54" s="32"/>
    </row>
    <row r="55" spans="1:7" x14ac:dyDescent="0.3">
      <c r="A55" t="s">
        <v>85</v>
      </c>
      <c r="B55" s="1">
        <v>2926</v>
      </c>
      <c r="C55" s="19">
        <f t="shared" si="6"/>
        <v>0.14850530376084861</v>
      </c>
      <c r="D55" s="1">
        <v>4717</v>
      </c>
      <c r="E55" s="19">
        <f t="shared" si="7"/>
        <v>0.2394051667258793</v>
      </c>
      <c r="F55" s="3">
        <f t="shared" si="8"/>
        <v>-0.37969048123807503</v>
      </c>
      <c r="G55" s="32"/>
    </row>
    <row r="56" spans="1:7" x14ac:dyDescent="0.3">
      <c r="A56" t="s">
        <v>86</v>
      </c>
      <c r="B56" s="1">
        <v>2511</v>
      </c>
      <c r="C56" s="19">
        <f t="shared" si="6"/>
        <v>0.12744252144343501</v>
      </c>
      <c r="D56" s="1">
        <v>1807</v>
      </c>
      <c r="E56" s="19">
        <f t="shared" si="7"/>
        <v>9.1711922042328572E-2</v>
      </c>
      <c r="F56" s="3">
        <f t="shared" si="8"/>
        <v>0.38959601549529599</v>
      </c>
      <c r="G56" s="32"/>
    </row>
    <row r="57" spans="1:7" x14ac:dyDescent="0.3">
      <c r="A57" t="s">
        <v>87</v>
      </c>
      <c r="B57" s="1">
        <v>-63</v>
      </c>
      <c r="C57" s="19">
        <f t="shared" si="6"/>
        <v>-3.1974826168603768E-3</v>
      </c>
      <c r="D57" s="1">
        <v>26</v>
      </c>
      <c r="E57" s="19">
        <f t="shared" si="7"/>
        <v>1.3195960006090442E-3</v>
      </c>
      <c r="F57" s="3">
        <f t="shared" si="8"/>
        <v>-3.4230769230769229</v>
      </c>
      <c r="G57" s="32"/>
    </row>
    <row r="58" spans="1:7" x14ac:dyDescent="0.3">
      <c r="A58" t="s">
        <v>88</v>
      </c>
      <c r="B58" s="1">
        <v>479</v>
      </c>
      <c r="C58" s="19">
        <f t="shared" si="6"/>
        <v>2.4311018626605084E-2</v>
      </c>
      <c r="D58" s="1">
        <v>2886</v>
      </c>
      <c r="E58" s="19">
        <f t="shared" si="7"/>
        <v>0.14647515606760392</v>
      </c>
      <c r="F58" s="3">
        <f t="shared" si="8"/>
        <v>-0.83402633402633408</v>
      </c>
      <c r="G58" s="32"/>
    </row>
    <row r="59" spans="1:7" x14ac:dyDescent="0.3">
      <c r="A59" t="s">
        <v>89</v>
      </c>
      <c r="B59" s="1">
        <v>-1</v>
      </c>
      <c r="C59" s="19">
        <f t="shared" si="6"/>
        <v>-5.0753692331117091E-5</v>
      </c>
      <c r="D59" s="1">
        <v>-2</v>
      </c>
      <c r="E59" s="19">
        <f t="shared" si="7"/>
        <v>-1.0150738466223418E-4</v>
      </c>
      <c r="F59" s="3">
        <f t="shared" si="8"/>
        <v>-0.5</v>
      </c>
      <c r="G59" s="32"/>
    </row>
    <row r="60" spans="1:7" x14ac:dyDescent="0.3">
      <c r="A60" t="s">
        <v>90</v>
      </c>
      <c r="B60" s="1">
        <v>9</v>
      </c>
      <c r="C60" s="19">
        <f t="shared" si="6"/>
        <v>4.5678323098005382E-4</v>
      </c>
      <c r="D60" s="1">
        <v>5</v>
      </c>
      <c r="E60" s="19">
        <f t="shared" si="7"/>
        <v>2.5376846165558542E-4</v>
      </c>
      <c r="F60" s="3">
        <f t="shared" si="8"/>
        <v>0.8</v>
      </c>
      <c r="G60" s="32"/>
    </row>
    <row r="61" spans="1:7" x14ac:dyDescent="0.3">
      <c r="A61" s="9" t="s">
        <v>91</v>
      </c>
      <c r="B61" s="13">
        <v>19703</v>
      </c>
      <c r="C61" s="13"/>
      <c r="D61" s="13">
        <v>22050</v>
      </c>
      <c r="E61" s="13"/>
      <c r="F61" s="14">
        <f t="shared" si="8"/>
        <v>-0.10643990929705216</v>
      </c>
      <c r="G61" s="32"/>
    </row>
    <row r="62" spans="1:7" x14ac:dyDescent="0.3">
      <c r="A62" s="17"/>
      <c r="B62" s="17"/>
      <c r="C62" s="17"/>
      <c r="D62" s="17"/>
      <c r="E62" s="17"/>
      <c r="F62" s="17"/>
      <c r="G62" s="34"/>
    </row>
    <row r="63" spans="1:7" x14ac:dyDescent="0.3">
      <c r="A63" s="37"/>
      <c r="B63" s="37"/>
      <c r="C63" s="37"/>
      <c r="D63" s="37"/>
      <c r="E63" s="37"/>
      <c r="F63" s="37"/>
      <c r="G63" s="32"/>
    </row>
    <row r="64" spans="1:7" x14ac:dyDescent="0.3">
      <c r="A64" s="32"/>
      <c r="B64" s="32"/>
      <c r="C64" s="32"/>
      <c r="D64" s="32"/>
      <c r="E64" s="32"/>
      <c r="F64" s="32"/>
      <c r="G64" s="32"/>
    </row>
    <row r="65" spans="1:7" x14ac:dyDescent="0.3">
      <c r="A65" s="30"/>
      <c r="B65" s="30"/>
      <c r="C65" s="30"/>
      <c r="D65" s="30"/>
      <c r="E65" s="30"/>
      <c r="F65" s="30"/>
      <c r="G65" s="29"/>
    </row>
  </sheetData>
  <mergeCells count="11">
    <mergeCell ref="A1:F1"/>
    <mergeCell ref="B2:F2"/>
    <mergeCell ref="B3:F3"/>
    <mergeCell ref="H2:H4"/>
    <mergeCell ref="I2:M3"/>
    <mergeCell ref="H1:M1"/>
    <mergeCell ref="A29:A31"/>
    <mergeCell ref="A28:F28"/>
    <mergeCell ref="B29:F29"/>
    <mergeCell ref="B30:F30"/>
    <mergeCell ref="A2:A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797432-16eb-4952-ada7-f81712fe8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2ACF6FD6BE54AAB6AF41B351C8FD9" ma:contentTypeVersion="6" ma:contentTypeDescription="Create a new document." ma:contentTypeScope="" ma:versionID="529c8e9ba8657b7bacda0584a8859a3b">
  <xsd:schema xmlns:xsd="http://www.w3.org/2001/XMLSchema" xmlns:xs="http://www.w3.org/2001/XMLSchema" xmlns:p="http://schemas.microsoft.com/office/2006/metadata/properties" xmlns:ns3="cf797432-16eb-4952-ada7-f81712fe8add" targetNamespace="http://schemas.microsoft.com/office/2006/metadata/properties" ma:root="true" ma:fieldsID="794acf1ff419f17a0269736d63c2836f" ns3:_="">
    <xsd:import namespace="cf797432-16eb-4952-ada7-f81712fe8a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97432-16eb-4952-ada7-f81712fe8a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74D64-3F46-42DD-9E37-9D4798927312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f797432-16eb-4952-ada7-f81712fe8ad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FE0854F-9E17-4ED6-9A92-B45E5C757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569A82-42B8-4572-8E59-D54310C4F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97432-16eb-4952-ada7-f81712fe8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LEONIDAS CALIEL DE CARVALHO</dc:creator>
  <cp:keywords/>
  <dc:description/>
  <cp:lastModifiedBy>LEONIDAS CALIEL DE CARVALHO</cp:lastModifiedBy>
  <cp:revision/>
  <dcterms:created xsi:type="dcterms:W3CDTF">2025-06-02T12:07:54Z</dcterms:created>
  <dcterms:modified xsi:type="dcterms:W3CDTF">2025-06-18T22:07:40Z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0x010100C652ACF6FD6BE54AAB6AF41B351C8FD9</vt:lpwstr>
  </property>
</Properties>
</file>